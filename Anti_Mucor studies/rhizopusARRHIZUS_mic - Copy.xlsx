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B3F2D2A1-094E-4120-A9E6-39FD6D8B87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te 1 - Sheet1" sheetId="1" r:id="rId1"/>
  </sheets>
  <definedNames>
    <definedName name="MethodPointer1">734075920</definedName>
    <definedName name="MethodPointer2">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2" i="1" l="1"/>
  <c r="Y80" i="1"/>
  <c r="M90" i="1"/>
  <c r="R88" i="1"/>
  <c r="S88" i="1"/>
  <c r="T88" i="1"/>
  <c r="U88" i="1"/>
  <c r="V88" i="1"/>
  <c r="W88" i="1"/>
  <c r="X88" i="1"/>
  <c r="Y88" i="1"/>
  <c r="Z88" i="1"/>
  <c r="Q88" i="1"/>
  <c r="R84" i="1"/>
  <c r="S84" i="1"/>
  <c r="T84" i="1"/>
  <c r="U84" i="1"/>
  <c r="V84" i="1"/>
  <c r="W84" i="1"/>
  <c r="X84" i="1"/>
  <c r="Y84" i="1"/>
  <c r="Z84" i="1"/>
  <c r="Q84" i="1"/>
  <c r="P108" i="1"/>
  <c r="Q108" i="1"/>
  <c r="R108" i="1"/>
  <c r="S108" i="1"/>
  <c r="T108" i="1"/>
  <c r="U108" i="1"/>
  <c r="V108" i="1"/>
  <c r="W108" i="1"/>
  <c r="X108" i="1"/>
  <c r="Y108" i="1"/>
  <c r="Q113" i="1"/>
  <c r="R113" i="1"/>
  <c r="S113" i="1"/>
  <c r="T113" i="1"/>
  <c r="U113" i="1"/>
  <c r="V113" i="1"/>
  <c r="W113" i="1"/>
  <c r="X113" i="1"/>
  <c r="Y113" i="1"/>
  <c r="P113" i="1"/>
  <c r="Q101" i="1"/>
  <c r="R101" i="1"/>
  <c r="S101" i="1"/>
  <c r="T101" i="1"/>
  <c r="U101" i="1"/>
  <c r="V101" i="1"/>
  <c r="W101" i="1"/>
  <c r="X101" i="1"/>
  <c r="Y101" i="1"/>
  <c r="Z101" i="1"/>
  <c r="P101" i="1"/>
  <c r="Q96" i="1"/>
  <c r="R96" i="1"/>
  <c r="S96" i="1"/>
  <c r="T96" i="1"/>
  <c r="U96" i="1"/>
  <c r="V96" i="1"/>
  <c r="W96" i="1"/>
  <c r="X96" i="1"/>
  <c r="Y96" i="1"/>
  <c r="P96" i="1"/>
  <c r="M101" i="1"/>
  <c r="M114" i="1"/>
  <c r="N114" i="1"/>
  <c r="N101" i="1"/>
  <c r="N90" i="1"/>
</calcChain>
</file>

<file path=xl/sharedStrings.xml><?xml version="1.0" encoding="utf-8"?>
<sst xmlns="http://schemas.openxmlformats.org/spreadsheetml/2006/main" count="115" uniqueCount="52">
  <si>
    <t>Software Version</t>
  </si>
  <si>
    <t>3.14.03</t>
  </si>
  <si>
    <t>Experiment File Path:</t>
  </si>
  <si>
    <t>C:\Users\Public\Documents\Experiments\n022_ecg_mic.xpt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</si>
  <si>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</si>
  <si>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</si>
  <si>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</si>
  <si>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</si>
  <si>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</si>
  <si>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</si>
  <si>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</si>
  <si>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</si>
  <si>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</si>
  <si>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</si>
  <si>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</si>
  <si>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</si>
  <si>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</si>
  <si>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</si>
  <si>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</si>
  <si>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</si>
  <si>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</si>
  <si>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Absorbance Endpoint</t>
  </si>
  <si>
    <t>Full Plate</t>
  </si>
  <si>
    <t>Wavelengths:  530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</si>
  <si>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</si>
  <si>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</si>
  <si>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</si>
  <si>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</si>
  <si>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</si>
  <si>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</si>
  <si>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</si>
  <si>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</si>
  <si>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</si>
  <si>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</si>
  <si>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</si>
  <si>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n0</t>
  </si>
  <si>
    <t>ecg</t>
  </si>
  <si>
    <t>naoh</t>
  </si>
  <si>
    <t>thf</t>
  </si>
  <si>
    <t>egg</t>
  </si>
  <si>
    <t>pta</t>
  </si>
  <si>
    <t>ampho</t>
  </si>
  <si>
    <t>dmso</t>
  </si>
  <si>
    <t>mg/mL</t>
  </si>
  <si>
    <t>amphotericinB</t>
  </si>
  <si>
    <t>ug/mL</t>
  </si>
  <si>
    <t>PTA</t>
  </si>
  <si>
    <t>N0225</t>
  </si>
  <si>
    <t>ECG</t>
  </si>
  <si>
    <t xml:space="preserve"> </t>
  </si>
  <si>
    <t>not seen</t>
  </si>
  <si>
    <t>amphotericin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</si>
</sst>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16" borderId="0" xfId="0" applyFill="1"/>
    <xf numFmtId="0" fontId="3" fillId="1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tabSelected="1" topLeftCell="G72" workbookViewId="0">
      <selection activeCell="V75" sqref="V75"/>
    </sheetView>
  </sheetViews>
  <sheetFormatPr defaultRowHeight="13.2" x14ac:dyDescent="0.25"/>
  <cols>
    <col min="1" max="1" width="20.6640625" customWidth="1"/>
    <col min="2" max="2" width="12.66406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45964</v>
      </c>
    </row>
    <row r="8" spans="1:2" x14ac:dyDescent="0.25">
      <c r="A8" t="s">
        <v>8</v>
      </c>
      <c r="B8" s="2">
        <v>0.42363425925925924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23110726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</row>
    <row r="17" spans="1:15" x14ac:dyDescent="0.25">
      <c r="A17" t="s">
        <v>20</v>
      </c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0" spans="1:15" x14ac:dyDescent="0.25">
      <c r="B20" t="s">
        <v>24</v>
      </c>
    </row>
    <row r="22" spans="1:15" x14ac:dyDescent="0.25">
      <c r="A22" s="3" t="s">
        <v>25</v>
      </c>
      <c r="B22" s="4"/>
    </row>
    <row r="23" spans="1:15" x14ac:dyDescent="0.25">
      <c r="A23" t="s">
        <v>26</v>
      </c>
      <c r="B23">
        <v>27.1</v>
      </c>
    </row>
    <row r="25" spans="1:15" x14ac:dyDescent="0.2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5">
      <c r="A26" s="17" t="s">
        <v>35</v>
      </c>
      <c r="B26" s="6" t="s">
        <v>27</v>
      </c>
      <c r="C26" s="7">
        <v>0.33900000000000002</v>
      </c>
      <c r="D26" s="8">
        <v>0.255</v>
      </c>
      <c r="E26" s="8">
        <v>0.215</v>
      </c>
      <c r="F26" s="9">
        <v>0.19500000000000001</v>
      </c>
      <c r="G26" s="9">
        <v>0.17799999999999999</v>
      </c>
      <c r="H26" s="8">
        <v>0.20399999999999999</v>
      </c>
      <c r="I26" s="8">
        <v>0.23200000000000001</v>
      </c>
      <c r="J26" s="8">
        <v>0.255</v>
      </c>
      <c r="K26" s="8">
        <v>0.26900000000000002</v>
      </c>
      <c r="L26" s="7">
        <v>0.27700000000000002</v>
      </c>
      <c r="M26" s="7">
        <v>0.33700000000000002</v>
      </c>
      <c r="N26" s="9">
        <v>0.128</v>
      </c>
      <c r="O26" s="10">
        <v>530</v>
      </c>
    </row>
    <row r="27" spans="1:15" x14ac:dyDescent="0.25">
      <c r="B27" s="6" t="s">
        <v>28</v>
      </c>
      <c r="C27" s="11">
        <v>0.34399999999999997</v>
      </c>
      <c r="D27" s="8">
        <v>0.25900000000000001</v>
      </c>
      <c r="E27" s="8">
        <v>0.249</v>
      </c>
      <c r="F27" s="7">
        <v>0.315</v>
      </c>
      <c r="G27" s="7">
        <v>0.315</v>
      </c>
      <c r="H27" s="7">
        <v>0.28299999999999997</v>
      </c>
      <c r="I27" s="7">
        <v>0.32700000000000001</v>
      </c>
      <c r="J27" s="7">
        <v>0.28499999999999998</v>
      </c>
      <c r="K27" s="7">
        <v>0.33400000000000002</v>
      </c>
      <c r="L27" s="7">
        <v>0.32700000000000001</v>
      </c>
      <c r="M27" s="8">
        <v>0.255</v>
      </c>
      <c r="N27" s="9">
        <v>0.13100000000000001</v>
      </c>
      <c r="O27" s="10">
        <v>530</v>
      </c>
    </row>
    <row r="28" spans="1:15" x14ac:dyDescent="0.25">
      <c r="B28" s="6" t="s">
        <v>29</v>
      </c>
      <c r="C28" s="7">
        <v>0.33200000000000002</v>
      </c>
      <c r="D28" s="7">
        <v>0.28599999999999998</v>
      </c>
      <c r="E28" s="7">
        <v>0.29799999999999999</v>
      </c>
      <c r="F28" s="7">
        <v>0.27900000000000003</v>
      </c>
      <c r="G28" s="8">
        <v>0.23499999999999999</v>
      </c>
      <c r="H28" s="7">
        <v>0.27400000000000002</v>
      </c>
      <c r="I28" s="7">
        <v>0.309</v>
      </c>
      <c r="J28" s="7">
        <v>0.30599999999999999</v>
      </c>
      <c r="K28" s="12">
        <v>0.42799999999999999</v>
      </c>
      <c r="L28" s="7">
        <v>0.32800000000000001</v>
      </c>
      <c r="M28" s="7">
        <v>0.27500000000000002</v>
      </c>
      <c r="N28" s="9">
        <v>0.13500000000000001</v>
      </c>
      <c r="O28" s="10">
        <v>530</v>
      </c>
    </row>
    <row r="29" spans="1:15" x14ac:dyDescent="0.25">
      <c r="A29" s="17" t="s">
        <v>36</v>
      </c>
      <c r="B29" s="6" t="s">
        <v>30</v>
      </c>
      <c r="C29" s="13">
        <v>1.0820000000000001</v>
      </c>
      <c r="D29" s="14">
        <v>0.81499999999999995</v>
      </c>
      <c r="E29" s="12">
        <v>0.46200000000000002</v>
      </c>
      <c r="F29" s="7">
        <v>0.27400000000000002</v>
      </c>
      <c r="G29" s="8">
        <v>0.2</v>
      </c>
      <c r="H29" s="9">
        <v>0.17899999999999999</v>
      </c>
      <c r="I29" s="8">
        <v>0.19900000000000001</v>
      </c>
      <c r="J29" s="9">
        <v>0.189</v>
      </c>
      <c r="K29" s="7">
        <v>0.309</v>
      </c>
      <c r="L29" s="8">
        <v>0.25800000000000001</v>
      </c>
      <c r="M29" s="8">
        <v>0.25700000000000001</v>
      </c>
      <c r="N29" s="8">
        <v>0.19900000000000001</v>
      </c>
      <c r="O29" s="10">
        <v>530</v>
      </c>
    </row>
    <row r="30" spans="1:15" x14ac:dyDescent="0.25">
      <c r="B30" s="6" t="s">
        <v>31</v>
      </c>
      <c r="C30" s="13">
        <v>1.1220000000000001</v>
      </c>
      <c r="D30" s="14">
        <v>0.78900000000000003</v>
      </c>
      <c r="E30" s="12">
        <v>0.45500000000000002</v>
      </c>
      <c r="F30" s="7">
        <v>0.28699999999999998</v>
      </c>
      <c r="G30" s="7">
        <v>0.27</v>
      </c>
      <c r="H30" s="8">
        <v>0.2</v>
      </c>
      <c r="I30" s="9">
        <v>0.18</v>
      </c>
      <c r="J30" s="8">
        <v>0.248</v>
      </c>
      <c r="K30" s="12">
        <v>0.42899999999999999</v>
      </c>
      <c r="L30" s="7">
        <v>0.28799999999999998</v>
      </c>
      <c r="M30" s="7">
        <v>0.27700000000000002</v>
      </c>
      <c r="N30" s="9">
        <v>0.13100000000000001</v>
      </c>
      <c r="O30" s="10">
        <v>530</v>
      </c>
    </row>
    <row r="31" spans="1:15" x14ac:dyDescent="0.25">
      <c r="B31" s="6" t="s">
        <v>32</v>
      </c>
      <c r="C31" s="13">
        <v>1.071</v>
      </c>
      <c r="D31" s="15">
        <v>0.72599999999999998</v>
      </c>
      <c r="E31" s="12">
        <v>0.42499999999999999</v>
      </c>
      <c r="F31" s="8">
        <v>0.26500000000000001</v>
      </c>
      <c r="G31" s="8">
        <v>0.20399999999999999</v>
      </c>
      <c r="H31" s="9">
        <v>0.193</v>
      </c>
      <c r="I31" s="8">
        <v>0.22700000000000001</v>
      </c>
      <c r="J31" s="12">
        <v>0.48</v>
      </c>
      <c r="K31" s="16">
        <v>0.5</v>
      </c>
      <c r="L31" s="12">
        <v>0.48099999999999998</v>
      </c>
      <c r="M31" s="7">
        <v>0.28599999999999998</v>
      </c>
      <c r="N31" s="9">
        <v>0.189</v>
      </c>
      <c r="O31" s="10">
        <v>530</v>
      </c>
    </row>
    <row r="32" spans="1:15" x14ac:dyDescent="0.25">
      <c r="A32" s="17" t="s">
        <v>37</v>
      </c>
      <c r="B32" s="6" t="s">
        <v>33</v>
      </c>
      <c r="C32" s="7">
        <v>0.27400000000000002</v>
      </c>
      <c r="D32" s="7">
        <v>0.27</v>
      </c>
      <c r="E32" s="7">
        <v>0.28599999999999998</v>
      </c>
      <c r="F32" s="8">
        <v>0.23899999999999999</v>
      </c>
      <c r="G32" s="7">
        <v>0.29199999999999998</v>
      </c>
      <c r="H32" s="7">
        <v>0.27400000000000002</v>
      </c>
      <c r="I32" s="7">
        <v>0.28599999999999998</v>
      </c>
      <c r="J32" s="12">
        <v>0.42699999999999999</v>
      </c>
      <c r="K32" s="12">
        <v>0.46100000000000002</v>
      </c>
      <c r="L32" s="12">
        <v>0.41299999999999998</v>
      </c>
      <c r="M32" s="16">
        <v>0.495</v>
      </c>
      <c r="N32" s="9">
        <v>0.152</v>
      </c>
      <c r="O32" s="10">
        <v>530</v>
      </c>
    </row>
    <row r="33" spans="1:15" x14ac:dyDescent="0.25">
      <c r="B33" s="6" t="s">
        <v>34</v>
      </c>
      <c r="C33" s="8">
        <v>0.25700000000000001</v>
      </c>
      <c r="D33" s="7">
        <v>0.27100000000000002</v>
      </c>
      <c r="E33" s="8">
        <v>0.24299999999999999</v>
      </c>
      <c r="F33" s="8">
        <v>0.26600000000000001</v>
      </c>
      <c r="G33" s="8">
        <v>0.249</v>
      </c>
      <c r="H33" s="7">
        <v>0.27800000000000002</v>
      </c>
      <c r="I33" s="11">
        <v>0.371</v>
      </c>
      <c r="J33" s="16">
        <v>0.48799999999999999</v>
      </c>
      <c r="K33" s="7">
        <v>0.29099999999999998</v>
      </c>
      <c r="L33" s="8">
        <v>0.251</v>
      </c>
      <c r="M33" s="11">
        <v>0.39200000000000002</v>
      </c>
      <c r="N33" s="9">
        <v>0.16400000000000001</v>
      </c>
      <c r="O33" s="10">
        <v>530</v>
      </c>
    </row>
    <row r="35" spans="1:15" x14ac:dyDescent="0.25">
      <c r="A35" s="5"/>
      <c r="B35" s="6">
        <v>1</v>
      </c>
      <c r="C35" s="6">
        <v>2</v>
      </c>
      <c r="D35" s="6">
        <v>3</v>
      </c>
      <c r="E35" s="6">
        <v>4</v>
      </c>
      <c r="F35" s="6">
        <v>5</v>
      </c>
      <c r="G35" s="6">
        <v>6</v>
      </c>
      <c r="H35" s="6">
        <v>7</v>
      </c>
      <c r="I35" s="6">
        <v>8</v>
      </c>
      <c r="J35" s="6">
        <v>9</v>
      </c>
      <c r="K35" s="6">
        <v>10</v>
      </c>
      <c r="L35" s="6">
        <v>11</v>
      </c>
      <c r="M35" s="6">
        <v>12</v>
      </c>
    </row>
    <row r="36" spans="1:15" x14ac:dyDescent="0.25">
      <c r="A36" s="6" t="s">
        <v>27</v>
      </c>
      <c r="B36" s="18">
        <v>0.59199999999999997</v>
      </c>
      <c r="C36" s="16">
        <v>0.48799999999999999</v>
      </c>
      <c r="D36" s="11">
        <v>0.312</v>
      </c>
      <c r="E36" s="8">
        <v>0.23100000000000001</v>
      </c>
      <c r="F36" s="8">
        <v>0.249</v>
      </c>
      <c r="G36" s="8">
        <v>0.23100000000000001</v>
      </c>
      <c r="H36" s="7">
        <v>0.30499999999999999</v>
      </c>
      <c r="I36" s="11">
        <v>0.33700000000000002</v>
      </c>
      <c r="J36" s="12">
        <v>0.377</v>
      </c>
      <c r="K36" s="7">
        <v>0.27300000000000002</v>
      </c>
      <c r="L36" s="8">
        <v>0.24099999999999999</v>
      </c>
      <c r="M36" s="9">
        <v>0.125</v>
      </c>
      <c r="N36" s="10">
        <v>530</v>
      </c>
      <c r="O36" s="17" t="s">
        <v>38</v>
      </c>
    </row>
    <row r="37" spans="1:15" x14ac:dyDescent="0.25">
      <c r="A37" s="6" t="s">
        <v>28</v>
      </c>
      <c r="B37" s="18">
        <v>0.57599999999999996</v>
      </c>
      <c r="C37" s="12">
        <v>0.42399999999999999</v>
      </c>
      <c r="D37" s="11">
        <v>0.318</v>
      </c>
      <c r="E37" s="7">
        <v>0.26600000000000001</v>
      </c>
      <c r="F37" s="8">
        <v>0.19600000000000001</v>
      </c>
      <c r="G37" s="8">
        <v>0.20799999999999999</v>
      </c>
      <c r="H37" s="8">
        <v>0.20300000000000001</v>
      </c>
      <c r="I37" s="7">
        <v>0.308</v>
      </c>
      <c r="J37" s="16">
        <v>0.45600000000000002</v>
      </c>
      <c r="K37" s="19">
        <v>0.52200000000000002</v>
      </c>
      <c r="L37" s="11">
        <v>0.34899999999999998</v>
      </c>
      <c r="M37" s="11">
        <v>0.34</v>
      </c>
      <c r="N37" s="10">
        <v>530</v>
      </c>
    </row>
    <row r="38" spans="1:15" x14ac:dyDescent="0.25">
      <c r="A38" s="6" t="s">
        <v>29</v>
      </c>
      <c r="B38" s="14">
        <v>0.70199999999999996</v>
      </c>
      <c r="C38" s="19">
        <v>0.55100000000000005</v>
      </c>
      <c r="D38" s="11">
        <v>0.33500000000000002</v>
      </c>
      <c r="E38" s="11">
        <v>0.33300000000000002</v>
      </c>
      <c r="F38" s="7">
        <v>0.28000000000000003</v>
      </c>
      <c r="G38" s="7">
        <v>0.29199999999999998</v>
      </c>
      <c r="H38" s="7">
        <v>0.28499999999999998</v>
      </c>
      <c r="I38" s="8">
        <v>0.19800000000000001</v>
      </c>
      <c r="J38" s="7">
        <v>0.29399999999999998</v>
      </c>
      <c r="K38" s="16">
        <v>0.438</v>
      </c>
      <c r="L38" s="7">
        <v>0.28399999999999997</v>
      </c>
      <c r="M38" s="9">
        <v>0.16900000000000001</v>
      </c>
      <c r="N38" s="10">
        <v>530</v>
      </c>
    </row>
    <row r="39" spans="1:15" x14ac:dyDescent="0.25">
      <c r="A39" s="6" t="s">
        <v>30</v>
      </c>
      <c r="B39" s="13">
        <v>0.94</v>
      </c>
      <c r="C39" s="14">
        <v>0.74399999999999999</v>
      </c>
      <c r="D39" s="19">
        <v>0.54800000000000004</v>
      </c>
      <c r="E39" s="11">
        <v>0.35299999999999998</v>
      </c>
      <c r="F39" s="7">
        <v>0.28999999999999998</v>
      </c>
      <c r="G39" s="7">
        <v>0.28799999999999998</v>
      </c>
      <c r="H39" s="8">
        <v>0.19700000000000001</v>
      </c>
      <c r="I39" s="7">
        <v>0.28299999999999997</v>
      </c>
      <c r="J39" s="7">
        <v>0.27</v>
      </c>
      <c r="K39" s="7">
        <v>0.252</v>
      </c>
      <c r="L39" s="11">
        <v>0.318</v>
      </c>
      <c r="M39" s="9">
        <v>0.13200000000000001</v>
      </c>
      <c r="N39" s="10">
        <v>530</v>
      </c>
      <c r="O39" s="17" t="s">
        <v>39</v>
      </c>
    </row>
    <row r="40" spans="1:15" x14ac:dyDescent="0.25">
      <c r="A40" s="6" t="s">
        <v>31</v>
      </c>
      <c r="B40" s="20">
        <v>0.88200000000000001</v>
      </c>
      <c r="C40" s="15">
        <v>0.67200000000000004</v>
      </c>
      <c r="D40" s="19">
        <v>0.54800000000000004</v>
      </c>
      <c r="E40" s="11">
        <v>0.317</v>
      </c>
      <c r="F40" s="8">
        <v>0.22600000000000001</v>
      </c>
      <c r="G40" s="9">
        <v>0.17599999999999999</v>
      </c>
      <c r="H40" s="8">
        <v>0.192</v>
      </c>
      <c r="I40" s="8">
        <v>0.23100000000000001</v>
      </c>
      <c r="J40" s="9">
        <v>0.187</v>
      </c>
      <c r="K40" s="8">
        <v>0.23</v>
      </c>
      <c r="L40" s="7">
        <v>0.29799999999999999</v>
      </c>
      <c r="M40" s="9">
        <v>0.13400000000000001</v>
      </c>
      <c r="N40" s="10">
        <v>530</v>
      </c>
    </row>
    <row r="41" spans="1:15" x14ac:dyDescent="0.25">
      <c r="A41" s="6" t="s">
        <v>32</v>
      </c>
      <c r="B41" s="13">
        <v>0.997</v>
      </c>
      <c r="C41" s="18">
        <v>0.57899999999999996</v>
      </c>
      <c r="D41" s="12">
        <v>0.435</v>
      </c>
      <c r="E41" s="12">
        <v>0.376</v>
      </c>
      <c r="F41" s="7">
        <v>0.26700000000000002</v>
      </c>
      <c r="G41" s="8">
        <v>0.224</v>
      </c>
      <c r="H41" s="8">
        <v>0.23300000000000001</v>
      </c>
      <c r="I41" s="7">
        <v>0.28499999999999998</v>
      </c>
      <c r="J41" s="11">
        <v>0.32700000000000001</v>
      </c>
      <c r="K41" s="8">
        <v>0.23799999999999999</v>
      </c>
      <c r="L41" s="11">
        <v>0.313</v>
      </c>
      <c r="M41" s="8">
        <v>0.192</v>
      </c>
      <c r="N41" s="10">
        <v>530</v>
      </c>
    </row>
    <row r="42" spans="1:15" x14ac:dyDescent="0.25">
      <c r="A42" s="6" t="s">
        <v>33</v>
      </c>
      <c r="B42" s="8">
        <v>0.20799999999999999</v>
      </c>
      <c r="C42" s="11">
        <v>0.36799999999999999</v>
      </c>
      <c r="D42" s="11">
        <v>0.34399999999999997</v>
      </c>
      <c r="E42" s="11">
        <v>0.313</v>
      </c>
      <c r="F42" s="11">
        <v>0.33800000000000002</v>
      </c>
      <c r="G42" s="11">
        <v>0.33900000000000002</v>
      </c>
      <c r="H42" s="12">
        <v>0.38300000000000001</v>
      </c>
      <c r="I42" s="12">
        <v>0.41599999999999998</v>
      </c>
      <c r="J42" s="7">
        <v>0.3</v>
      </c>
      <c r="K42" s="11">
        <v>0.35499999999999998</v>
      </c>
      <c r="L42" s="11">
        <v>0.33900000000000002</v>
      </c>
      <c r="M42" s="9">
        <v>0.128</v>
      </c>
      <c r="N42" s="10">
        <v>530</v>
      </c>
    </row>
    <row r="43" spans="1:15" x14ac:dyDescent="0.25">
      <c r="A43" s="6" t="s">
        <v>34</v>
      </c>
      <c r="B43" s="8">
        <v>0.23499999999999999</v>
      </c>
      <c r="C43" s="8">
        <v>0.245</v>
      </c>
      <c r="D43" s="7">
        <v>0.27800000000000002</v>
      </c>
      <c r="E43" s="7">
        <v>0.27800000000000002</v>
      </c>
      <c r="F43" s="7">
        <v>0.26</v>
      </c>
      <c r="G43" s="7">
        <v>0.27900000000000003</v>
      </c>
      <c r="H43" s="7">
        <v>0.28100000000000003</v>
      </c>
      <c r="I43" s="12">
        <v>0.38900000000000001</v>
      </c>
      <c r="J43" s="7">
        <v>0.29499999999999998</v>
      </c>
      <c r="K43" s="7">
        <v>0.29799999999999999</v>
      </c>
      <c r="L43" s="11">
        <v>0.36</v>
      </c>
      <c r="M43" s="9">
        <v>0.13100000000000001</v>
      </c>
      <c r="N43" s="10">
        <v>530</v>
      </c>
    </row>
    <row r="46" spans="1:15" x14ac:dyDescent="0.25">
      <c r="G46" t="s">
        <v>19</v>
      </c>
    </row>
    <row r="47" spans="1:15" x14ac:dyDescent="0.25">
      <c r="G47" t="s">
        <v>20</v>
      </c>
      <c r="H47" t="s">
        <v>21</v>
      </c>
    </row>
    <row r="48" spans="1:15" x14ac:dyDescent="0.25">
      <c r="H48" t="s">
        <v>22</v>
      </c>
    </row>
    <row r="49" spans="7:21" x14ac:dyDescent="0.25">
      <c r="H49" t="s">
        <v>23</v>
      </c>
    </row>
    <row r="50" spans="7:21" x14ac:dyDescent="0.25">
      <c r="H50" t="s">
        <v>24</v>
      </c>
    </row>
    <row r="52" spans="7:21" x14ac:dyDescent="0.25">
      <c r="G52" s="3" t="s">
        <v>25</v>
      </c>
      <c r="H52" s="4"/>
    </row>
    <row r="53" spans="7:21" x14ac:dyDescent="0.25">
      <c r="G53" t="s">
        <v>26</v>
      </c>
      <c r="H53">
        <v>27</v>
      </c>
    </row>
    <row r="55" spans="7:21" x14ac:dyDescent="0.25">
      <c r="G55" s="17" t="s">
        <v>41</v>
      </c>
      <c r="H55" s="5"/>
      <c r="I55" s="6">
        <v>1</v>
      </c>
      <c r="J55" s="6">
        <v>2</v>
      </c>
      <c r="K55" s="6">
        <v>3</v>
      </c>
      <c r="L55" s="6">
        <v>4</v>
      </c>
      <c r="M55" s="6">
        <v>5</v>
      </c>
      <c r="N55" s="6">
        <v>6</v>
      </c>
      <c r="O55" s="6">
        <v>7</v>
      </c>
      <c r="P55" s="6">
        <v>8</v>
      </c>
      <c r="Q55" s="6">
        <v>9</v>
      </c>
      <c r="R55" s="6">
        <v>10</v>
      </c>
      <c r="S55" s="6">
        <v>11</v>
      </c>
      <c r="T55" s="6">
        <v>12</v>
      </c>
    </row>
    <row r="56" spans="7:21" x14ac:dyDescent="0.25">
      <c r="H56" s="6" t="s">
        <v>27</v>
      </c>
      <c r="I56" s="9">
        <v>0.14599999999999999</v>
      </c>
      <c r="J56" s="9">
        <v>0.14799999999999999</v>
      </c>
      <c r="K56" s="9">
        <v>0.14899999999999999</v>
      </c>
      <c r="L56" s="9">
        <v>0.13</v>
      </c>
      <c r="M56" s="9">
        <v>0.14499999999999999</v>
      </c>
      <c r="N56" s="9">
        <v>0.17</v>
      </c>
      <c r="O56" s="9">
        <v>0.186</v>
      </c>
      <c r="P56" s="9">
        <v>0.185</v>
      </c>
      <c r="Q56" s="8">
        <v>0.24399999999999999</v>
      </c>
      <c r="R56" s="8">
        <v>0.26900000000000002</v>
      </c>
      <c r="S56" s="9">
        <v>0.23400000000000001</v>
      </c>
      <c r="T56" s="7">
        <v>0.38600000000000001</v>
      </c>
      <c r="U56" s="10">
        <v>530</v>
      </c>
    </row>
    <row r="57" spans="7:21" x14ac:dyDescent="0.25">
      <c r="H57" s="6" t="s">
        <v>28</v>
      </c>
      <c r="I57" s="9">
        <v>0.14199999999999999</v>
      </c>
      <c r="J57" s="9">
        <v>0.13600000000000001</v>
      </c>
      <c r="K57" s="9">
        <v>0.17100000000000001</v>
      </c>
      <c r="L57" s="9">
        <v>0.159</v>
      </c>
      <c r="M57" s="9">
        <v>0.154</v>
      </c>
      <c r="N57" s="9">
        <v>0.151</v>
      </c>
      <c r="O57" s="9">
        <v>0.16800000000000001</v>
      </c>
      <c r="P57" s="9">
        <v>0.20200000000000001</v>
      </c>
      <c r="Q57" s="8">
        <v>0.309</v>
      </c>
      <c r="R57" s="9">
        <v>0.22700000000000001</v>
      </c>
      <c r="S57" s="8">
        <v>0.28999999999999998</v>
      </c>
      <c r="T57" s="9">
        <v>0.13100000000000001</v>
      </c>
      <c r="U57" s="10">
        <v>530</v>
      </c>
    </row>
    <row r="58" spans="7:21" x14ac:dyDescent="0.25">
      <c r="H58" s="6" t="s">
        <v>29</v>
      </c>
      <c r="I58" s="9">
        <v>0.155</v>
      </c>
      <c r="J58" s="9">
        <v>0.14099999999999999</v>
      </c>
      <c r="K58" s="9">
        <v>0.14399999999999999</v>
      </c>
      <c r="L58" s="9">
        <v>0.184</v>
      </c>
      <c r="M58" s="9">
        <v>0.14799999999999999</v>
      </c>
      <c r="N58" s="9">
        <v>0.14399999999999999</v>
      </c>
      <c r="O58" s="9">
        <v>0.24299999999999999</v>
      </c>
      <c r="P58" s="9">
        <v>0.22</v>
      </c>
      <c r="Q58" s="8">
        <v>0.251</v>
      </c>
      <c r="R58" s="9">
        <v>0.23799999999999999</v>
      </c>
      <c r="S58" s="8">
        <v>0.28299999999999997</v>
      </c>
      <c r="T58" s="8">
        <v>0.25800000000000001</v>
      </c>
      <c r="U58" s="10">
        <v>530</v>
      </c>
    </row>
    <row r="59" spans="7:21" x14ac:dyDescent="0.25">
      <c r="G59" s="17" t="s">
        <v>40</v>
      </c>
      <c r="H59" s="6" t="s">
        <v>30</v>
      </c>
      <c r="I59" s="13">
        <v>1.746</v>
      </c>
      <c r="J59" s="19">
        <v>0.91800000000000004</v>
      </c>
      <c r="K59" s="12">
        <v>0.64400000000000002</v>
      </c>
      <c r="L59" s="8">
        <v>0.26600000000000001</v>
      </c>
      <c r="M59" s="8">
        <v>0.28199999999999997</v>
      </c>
      <c r="N59" s="8">
        <v>0.34699999999999998</v>
      </c>
      <c r="O59" s="7">
        <v>0.42399999999999999</v>
      </c>
      <c r="P59" s="8">
        <v>0.35099999999999998</v>
      </c>
      <c r="Q59" s="7">
        <v>0.36899999999999999</v>
      </c>
      <c r="R59" s="7">
        <v>0.35899999999999999</v>
      </c>
      <c r="S59" s="8">
        <v>0.26400000000000001</v>
      </c>
      <c r="T59" s="9">
        <v>0.20899999999999999</v>
      </c>
      <c r="U59" s="10">
        <v>530</v>
      </c>
    </row>
    <row r="60" spans="7:21" x14ac:dyDescent="0.25">
      <c r="H60" s="6" t="s">
        <v>31</v>
      </c>
      <c r="I60" s="13">
        <v>1.6339999999999999</v>
      </c>
      <c r="J60" s="19">
        <v>0.85599999999999998</v>
      </c>
      <c r="K60" s="11">
        <v>0.499</v>
      </c>
      <c r="L60" s="8">
        <v>0.30499999999999999</v>
      </c>
      <c r="M60" s="8">
        <v>0.30299999999999999</v>
      </c>
      <c r="N60" s="8">
        <v>0.34100000000000003</v>
      </c>
      <c r="O60" s="7">
        <v>0.42199999999999999</v>
      </c>
      <c r="P60" s="8">
        <v>0.34300000000000003</v>
      </c>
      <c r="Q60" s="7">
        <v>0.38300000000000001</v>
      </c>
      <c r="R60" s="8">
        <v>0.25900000000000001</v>
      </c>
      <c r="S60" s="8">
        <v>0.29399999999999998</v>
      </c>
      <c r="T60" s="9">
        <v>0.13600000000000001</v>
      </c>
      <c r="U60" s="10">
        <v>530</v>
      </c>
    </row>
    <row r="61" spans="7:21" x14ac:dyDescent="0.25">
      <c r="H61" s="6" t="s">
        <v>32</v>
      </c>
      <c r="I61" s="21">
        <v>1.4219999999999999</v>
      </c>
      <c r="J61" s="19">
        <v>0.85899999999999999</v>
      </c>
      <c r="K61" s="12">
        <v>0.68799999999999994</v>
      </c>
      <c r="L61" s="8">
        <v>0.29899999999999999</v>
      </c>
      <c r="M61" s="8">
        <v>0.27200000000000002</v>
      </c>
      <c r="N61" s="8">
        <v>0.26800000000000002</v>
      </c>
      <c r="O61" s="8">
        <v>0.26400000000000001</v>
      </c>
      <c r="P61" s="8">
        <v>0.29199999999999998</v>
      </c>
      <c r="Q61" s="8">
        <v>0.28100000000000003</v>
      </c>
      <c r="R61" s="8">
        <v>0.26600000000000001</v>
      </c>
      <c r="S61" s="9">
        <v>0.23799999999999999</v>
      </c>
      <c r="T61" s="9">
        <v>0.13700000000000001</v>
      </c>
      <c r="U61" s="10">
        <v>530</v>
      </c>
    </row>
    <row r="62" spans="7:21" x14ac:dyDescent="0.25">
      <c r="H62" s="6" t="s">
        <v>33</v>
      </c>
      <c r="I62" s="8">
        <v>0.245</v>
      </c>
      <c r="J62" s="8">
        <v>0.246</v>
      </c>
      <c r="K62" s="8">
        <v>0.29399999999999998</v>
      </c>
      <c r="L62" s="9">
        <v>0.23200000000000001</v>
      </c>
      <c r="M62" s="8">
        <v>0.24399999999999999</v>
      </c>
      <c r="N62" s="8">
        <v>0.25</v>
      </c>
      <c r="O62" s="8">
        <v>0.27900000000000003</v>
      </c>
      <c r="P62" s="7">
        <v>0.45100000000000001</v>
      </c>
      <c r="Q62" s="7">
        <v>0.41599999999999998</v>
      </c>
      <c r="R62" s="8">
        <v>0.32500000000000001</v>
      </c>
      <c r="S62" s="8">
        <v>0.28199999999999997</v>
      </c>
      <c r="T62" s="9">
        <v>0.128</v>
      </c>
      <c r="U62" s="10">
        <v>530</v>
      </c>
    </row>
    <row r="63" spans="7:21" x14ac:dyDescent="0.25">
      <c r="H63" s="6" t="s">
        <v>34</v>
      </c>
      <c r="I63" s="9">
        <v>0.23200000000000001</v>
      </c>
      <c r="J63" s="9">
        <v>0.23899999999999999</v>
      </c>
      <c r="K63" s="8">
        <v>0.27400000000000002</v>
      </c>
      <c r="L63" s="8">
        <v>0.254</v>
      </c>
      <c r="M63" s="8">
        <v>0.254</v>
      </c>
      <c r="N63" s="8">
        <v>0.30399999999999999</v>
      </c>
      <c r="O63" s="8">
        <v>0.26300000000000001</v>
      </c>
      <c r="P63" s="8">
        <v>0.30599999999999999</v>
      </c>
      <c r="Q63" s="8">
        <v>0.31900000000000001</v>
      </c>
      <c r="R63" s="8">
        <v>0.252</v>
      </c>
      <c r="S63" s="8">
        <v>0.26</v>
      </c>
      <c r="T63" s="9">
        <v>0.13100000000000001</v>
      </c>
      <c r="U63" s="10">
        <v>530</v>
      </c>
    </row>
    <row r="70" spans="17:26" x14ac:dyDescent="0.25">
      <c r="V70" s="17" t="s">
        <v>45</v>
      </c>
    </row>
    <row r="71" spans="17:26" x14ac:dyDescent="0.25">
      <c r="U71" s="17" t="s">
        <v>44</v>
      </c>
      <c r="V71">
        <v>0.5</v>
      </c>
      <c r="X71" s="17" t="s">
        <v>49</v>
      </c>
    </row>
    <row r="72" spans="17:26" x14ac:dyDescent="0.25">
      <c r="U72" s="17" t="s">
        <v>38</v>
      </c>
      <c r="V72">
        <v>15.6</v>
      </c>
    </row>
    <row r="73" spans="17:26" x14ac:dyDescent="0.25">
      <c r="U73" s="17" t="s">
        <v>39</v>
      </c>
      <c r="V73">
        <v>250</v>
      </c>
    </row>
    <row r="74" spans="17:26" x14ac:dyDescent="0.25">
      <c r="U74" s="17" t="s">
        <v>46</v>
      </c>
      <c r="V74" t="s">
        <v>50</v>
      </c>
    </row>
    <row r="75" spans="17:26" x14ac:dyDescent="0.25">
      <c r="U75" s="17" t="s">
        <v>47</v>
      </c>
      <c r="V75">
        <v>125</v>
      </c>
    </row>
    <row r="76" spans="17:26" x14ac:dyDescent="0.25">
      <c r="U76" s="17" t="s">
        <v>48</v>
      </c>
      <c r="V76">
        <v>31</v>
      </c>
    </row>
    <row r="80" spans="17:26" x14ac:dyDescent="0.25">
      <c r="Q80">
        <v>1</v>
      </c>
      <c r="R80" s="24">
        <v>0.5</v>
      </c>
      <c r="S80">
        <v>0.25</v>
      </c>
      <c r="T80" s="25">
        <v>0.125</v>
      </c>
      <c r="U80" s="25">
        <v>6.25E-2</v>
      </c>
      <c r="V80" s="25">
        <v>3.125E-2</v>
      </c>
      <c r="W80" s="25">
        <v>1.5599999999999999E-2</v>
      </c>
      <c r="X80" s="25">
        <v>7.8120000000000004E-3</v>
      </c>
      <c r="Y80">
        <f>0.0039</f>
        <v>3.8999999999999998E-3</v>
      </c>
      <c r="Z80" s="25">
        <v>1.9499999999999999E-3</v>
      </c>
    </row>
    <row r="81" spans="1:27" x14ac:dyDescent="0.25">
      <c r="B81" s="5"/>
      <c r="C81" s="6">
        <v>1</v>
      </c>
      <c r="D81" s="6">
        <v>2</v>
      </c>
      <c r="E81" s="6">
        <v>3</v>
      </c>
      <c r="F81" s="6">
        <v>4</v>
      </c>
      <c r="G81" s="6">
        <v>5</v>
      </c>
      <c r="H81" s="6">
        <v>6</v>
      </c>
      <c r="I81" s="6">
        <v>7</v>
      </c>
      <c r="J81" s="6">
        <v>8</v>
      </c>
      <c r="K81" s="6">
        <v>9</v>
      </c>
      <c r="L81" s="6">
        <v>10</v>
      </c>
      <c r="M81" s="6">
        <v>11</v>
      </c>
      <c r="N81" s="6">
        <v>12</v>
      </c>
      <c r="Q81" s="18">
        <v>0.59199999999999997</v>
      </c>
      <c r="R81" s="16">
        <v>0.48799999999999999</v>
      </c>
      <c r="S81" s="11">
        <v>0.312</v>
      </c>
      <c r="T81" s="8">
        <v>0.23100000000000001</v>
      </c>
      <c r="U81" s="8">
        <v>0.249</v>
      </c>
      <c r="V81" s="8">
        <v>0.23100000000000001</v>
      </c>
      <c r="W81" s="7">
        <v>0.30499999999999999</v>
      </c>
      <c r="X81" s="11">
        <v>0.33700000000000002</v>
      </c>
      <c r="Y81" s="12">
        <v>0.377</v>
      </c>
      <c r="Z81" s="7">
        <v>0.27300000000000002</v>
      </c>
    </row>
    <row r="82" spans="1:27" x14ac:dyDescent="0.25">
      <c r="A82" t="s">
        <v>38</v>
      </c>
      <c r="B82" s="6" t="s">
        <v>27</v>
      </c>
      <c r="C82" s="18">
        <v>0.59199999999999997</v>
      </c>
      <c r="D82" s="16">
        <v>0.48799999999999999</v>
      </c>
      <c r="E82" s="11">
        <v>0.312</v>
      </c>
      <c r="F82" s="8">
        <v>0.23100000000000001</v>
      </c>
      <c r="G82" s="8">
        <v>0.249</v>
      </c>
      <c r="H82" s="8">
        <v>0.23100000000000001</v>
      </c>
      <c r="I82" s="7">
        <v>0.30499999999999999</v>
      </c>
      <c r="J82" s="11">
        <v>0.33700000000000002</v>
      </c>
      <c r="K82" s="12">
        <v>0.377</v>
      </c>
      <c r="L82" s="7">
        <v>0.27300000000000002</v>
      </c>
      <c r="M82" s="8">
        <v>0.24099999999999999</v>
      </c>
      <c r="N82" s="9">
        <v>0.125</v>
      </c>
      <c r="O82" s="10">
        <v>530</v>
      </c>
      <c r="P82" s="17" t="s">
        <v>38</v>
      </c>
      <c r="Q82" s="18">
        <v>0.57599999999999996</v>
      </c>
      <c r="R82" s="12">
        <v>0.42399999999999999</v>
      </c>
      <c r="S82" s="11">
        <v>0.318</v>
      </c>
      <c r="T82" s="7">
        <v>0.26600000000000001</v>
      </c>
      <c r="U82" s="8">
        <v>0.19600000000000001</v>
      </c>
      <c r="V82" s="8">
        <v>0.20799999999999999</v>
      </c>
      <c r="W82" s="8">
        <v>0.20300000000000001</v>
      </c>
      <c r="X82" s="7">
        <v>0.308</v>
      </c>
      <c r="Y82" s="16">
        <v>0.45600000000000002</v>
      </c>
      <c r="Z82" s="19">
        <v>0.52200000000000002</v>
      </c>
    </row>
    <row r="83" spans="1:27" x14ac:dyDescent="0.25">
      <c r="B83" s="6" t="s">
        <v>28</v>
      </c>
      <c r="C83" s="18">
        <v>0.57599999999999996</v>
      </c>
      <c r="D83" s="12">
        <v>0.42399999999999999</v>
      </c>
      <c r="E83" s="11">
        <v>0.318</v>
      </c>
      <c r="F83" s="7">
        <v>0.26600000000000001</v>
      </c>
      <c r="G83" s="8">
        <v>0.19600000000000001</v>
      </c>
      <c r="H83" s="8">
        <v>0.20799999999999999</v>
      </c>
      <c r="I83" s="8">
        <v>0.20300000000000001</v>
      </c>
      <c r="J83" s="7">
        <v>0.308</v>
      </c>
      <c r="K83" s="16">
        <v>0.45600000000000002</v>
      </c>
      <c r="L83" s="19">
        <v>0.52200000000000002</v>
      </c>
      <c r="M83" s="11">
        <v>0.34899999999999998</v>
      </c>
      <c r="N83" s="11">
        <v>0.34</v>
      </c>
      <c r="O83" s="10">
        <v>530</v>
      </c>
      <c r="Q83" s="14">
        <v>0.70199999999999996</v>
      </c>
      <c r="R83" s="19">
        <v>0.55100000000000005</v>
      </c>
      <c r="S83" s="11">
        <v>0.33500000000000002</v>
      </c>
      <c r="T83" s="11">
        <v>0.33300000000000002</v>
      </c>
      <c r="U83" s="7">
        <v>0.28000000000000003</v>
      </c>
      <c r="V83" s="7">
        <v>0.29199999999999998</v>
      </c>
      <c r="W83" s="7">
        <v>0.28499999999999998</v>
      </c>
      <c r="X83" s="8">
        <v>0.19800000000000001</v>
      </c>
      <c r="Y83" s="7">
        <v>0.29399999999999998</v>
      </c>
      <c r="Z83" s="16">
        <v>0.438</v>
      </c>
    </row>
    <row r="84" spans="1:27" x14ac:dyDescent="0.25">
      <c r="B84" s="6" t="s">
        <v>29</v>
      </c>
      <c r="C84" s="14">
        <v>0.70199999999999996</v>
      </c>
      <c r="D84" s="19">
        <v>0.55100000000000005</v>
      </c>
      <c r="E84" s="11">
        <v>0.33500000000000002</v>
      </c>
      <c r="F84" s="11">
        <v>0.33300000000000002</v>
      </c>
      <c r="G84" s="7">
        <v>0.28000000000000003</v>
      </c>
      <c r="H84" s="7">
        <v>0.29199999999999998</v>
      </c>
      <c r="I84" s="7">
        <v>0.28499999999999998</v>
      </c>
      <c r="J84" s="8">
        <v>0.19800000000000001</v>
      </c>
      <c r="K84" s="7">
        <v>0.29399999999999998</v>
      </c>
      <c r="L84" s="16">
        <v>0.438</v>
      </c>
      <c r="M84" s="7">
        <v>0.28399999999999997</v>
      </c>
      <c r="N84" s="9">
        <v>0.16900000000000001</v>
      </c>
      <c r="O84" s="10">
        <v>530</v>
      </c>
      <c r="Q84">
        <f>AVERAGE(Q81:Q83)</f>
        <v>0.62333333333333329</v>
      </c>
      <c r="R84">
        <f t="shared" ref="R84:Z84" si="0">AVERAGE(R81:R83)</f>
        <v>0.48766666666666669</v>
      </c>
      <c r="S84">
        <f t="shared" si="0"/>
        <v>0.32166666666666671</v>
      </c>
      <c r="T84">
        <f t="shared" si="0"/>
        <v>0.27666666666666667</v>
      </c>
      <c r="U84">
        <f t="shared" si="0"/>
        <v>0.2416666666666667</v>
      </c>
      <c r="V84" s="23">
        <f t="shared" si="0"/>
        <v>0.24366666666666667</v>
      </c>
      <c r="W84">
        <f t="shared" si="0"/>
        <v>0.26433333333333331</v>
      </c>
      <c r="X84">
        <f t="shared" si="0"/>
        <v>0.28099999999999997</v>
      </c>
      <c r="Y84">
        <f t="shared" si="0"/>
        <v>0.37566666666666665</v>
      </c>
      <c r="Z84">
        <f t="shared" si="0"/>
        <v>0.41100000000000003</v>
      </c>
    </row>
    <row r="85" spans="1:27" x14ac:dyDescent="0.25">
      <c r="A85" t="s">
        <v>39</v>
      </c>
      <c r="B85" s="6" t="s">
        <v>30</v>
      </c>
      <c r="C85" s="13">
        <v>0.94</v>
      </c>
      <c r="D85" s="14">
        <v>0.74399999999999999</v>
      </c>
      <c r="E85" s="19">
        <v>0.54800000000000004</v>
      </c>
      <c r="F85" s="11">
        <v>0.35299999999999998</v>
      </c>
      <c r="G85" s="7">
        <v>0.28999999999999998</v>
      </c>
      <c r="H85" s="7">
        <v>0.28799999999999998</v>
      </c>
      <c r="I85" s="8">
        <v>0.19700000000000001</v>
      </c>
      <c r="J85" s="7">
        <v>0.28299999999999997</v>
      </c>
      <c r="K85" s="7">
        <v>0.27</v>
      </c>
      <c r="L85" s="7">
        <v>0.252</v>
      </c>
      <c r="M85" s="11">
        <v>0.318</v>
      </c>
      <c r="N85" s="9">
        <v>0.13200000000000001</v>
      </c>
      <c r="O85" s="10">
        <v>530</v>
      </c>
      <c r="P85" s="17" t="s">
        <v>39</v>
      </c>
      <c r="Q85" s="13">
        <v>0.94</v>
      </c>
      <c r="R85" s="14">
        <v>0.74399999999999999</v>
      </c>
      <c r="S85" s="19">
        <v>0.54800000000000004</v>
      </c>
      <c r="T85" s="11">
        <v>0.35299999999999998</v>
      </c>
      <c r="U85" s="7">
        <v>0.28999999999999998</v>
      </c>
      <c r="V85" s="7">
        <v>0.28799999999999998</v>
      </c>
      <c r="W85" s="8">
        <v>0.19700000000000001</v>
      </c>
      <c r="X85" s="7">
        <v>0.28299999999999997</v>
      </c>
      <c r="Y85" s="7">
        <v>0.27</v>
      </c>
      <c r="Z85" s="7">
        <v>0.252</v>
      </c>
    </row>
    <row r="86" spans="1:27" x14ac:dyDescent="0.25">
      <c r="B86" s="6" t="s">
        <v>31</v>
      </c>
      <c r="C86" s="20">
        <v>0.88200000000000001</v>
      </c>
      <c r="D86" s="15">
        <v>0.67200000000000004</v>
      </c>
      <c r="E86" s="19">
        <v>0.54800000000000004</v>
      </c>
      <c r="F86" s="11">
        <v>0.317</v>
      </c>
      <c r="G86" s="8">
        <v>0.22600000000000001</v>
      </c>
      <c r="H86" s="9">
        <v>0.17599999999999999</v>
      </c>
      <c r="I86" s="8">
        <v>0.192</v>
      </c>
      <c r="J86" s="8">
        <v>0.23100000000000001</v>
      </c>
      <c r="K86" s="9">
        <v>0.187</v>
      </c>
      <c r="L86" s="8">
        <v>0.23</v>
      </c>
      <c r="M86" s="7">
        <v>0.29799999999999999</v>
      </c>
      <c r="N86" s="9">
        <v>0.13400000000000001</v>
      </c>
      <c r="O86" s="10">
        <v>530</v>
      </c>
      <c r="Q86" s="20">
        <v>0.88200000000000001</v>
      </c>
      <c r="R86" s="15">
        <v>0.67200000000000004</v>
      </c>
      <c r="S86" s="19">
        <v>0.54800000000000004</v>
      </c>
      <c r="T86" s="11">
        <v>0.317</v>
      </c>
      <c r="U86" s="8">
        <v>0.22600000000000001</v>
      </c>
      <c r="V86" s="9">
        <v>0.17599999999999999</v>
      </c>
      <c r="W86" s="8">
        <v>0.192</v>
      </c>
      <c r="X86" s="8">
        <v>0.23100000000000001</v>
      </c>
      <c r="Y86" s="9">
        <v>0.187</v>
      </c>
      <c r="Z86" s="8">
        <v>0.23</v>
      </c>
    </row>
    <row r="87" spans="1:27" x14ac:dyDescent="0.25">
      <c r="B87" s="6" t="s">
        <v>32</v>
      </c>
      <c r="C87" s="13">
        <v>0.997</v>
      </c>
      <c r="D87" s="18">
        <v>0.57899999999999996</v>
      </c>
      <c r="E87" s="12">
        <v>0.435</v>
      </c>
      <c r="F87" s="12">
        <v>0.376</v>
      </c>
      <c r="G87" s="7">
        <v>0.26700000000000002</v>
      </c>
      <c r="H87" s="8">
        <v>0.224</v>
      </c>
      <c r="I87" s="8">
        <v>0.23300000000000001</v>
      </c>
      <c r="J87" s="7">
        <v>0.28499999999999998</v>
      </c>
      <c r="K87" s="11">
        <v>0.32700000000000001</v>
      </c>
      <c r="L87" s="8">
        <v>0.23799999999999999</v>
      </c>
      <c r="M87" s="11">
        <v>0.313</v>
      </c>
      <c r="N87" s="8">
        <v>0.192</v>
      </c>
      <c r="O87" s="10">
        <v>530</v>
      </c>
      <c r="Q87" s="13">
        <v>0.997</v>
      </c>
      <c r="R87" s="18">
        <v>0.57899999999999996</v>
      </c>
      <c r="S87" s="12">
        <v>0.435</v>
      </c>
      <c r="T87" s="12">
        <v>0.376</v>
      </c>
      <c r="U87" s="7">
        <v>0.26700000000000002</v>
      </c>
      <c r="V87" s="8">
        <v>0.224</v>
      </c>
      <c r="W87" s="8">
        <v>0.23300000000000001</v>
      </c>
      <c r="X87" s="7">
        <v>0.28499999999999998</v>
      </c>
      <c r="Y87" s="11">
        <v>0.32700000000000001</v>
      </c>
      <c r="Z87" s="8">
        <v>0.23799999999999999</v>
      </c>
    </row>
    <row r="88" spans="1:27" x14ac:dyDescent="0.25">
      <c r="A88" t="s">
        <v>37</v>
      </c>
      <c r="B88" s="6" t="s">
        <v>33</v>
      </c>
      <c r="C88" s="8">
        <v>0.20799999999999999</v>
      </c>
      <c r="D88" s="11">
        <v>0.36799999999999999</v>
      </c>
      <c r="E88" s="11">
        <v>0.34399999999999997</v>
      </c>
      <c r="F88" s="11">
        <v>0.313</v>
      </c>
      <c r="G88" s="11">
        <v>0.33800000000000002</v>
      </c>
      <c r="H88" s="11">
        <v>0.33900000000000002</v>
      </c>
      <c r="I88" s="12">
        <v>0.38300000000000001</v>
      </c>
      <c r="J88" s="12">
        <v>0.41599999999999998</v>
      </c>
      <c r="K88" s="7">
        <v>0.3</v>
      </c>
      <c r="L88" s="11">
        <v>0.35499999999999998</v>
      </c>
      <c r="M88" s="11">
        <v>0.33900000000000002</v>
      </c>
      <c r="N88" s="9">
        <v>0.128</v>
      </c>
      <c r="O88" s="10">
        <v>530</v>
      </c>
      <c r="Q88">
        <f>AVERAGE(Q85:Q87)</f>
        <v>0.93966666666666665</v>
      </c>
      <c r="R88">
        <f t="shared" ref="R88:Z88" si="1">AVERAGE(R85:R87)</f>
        <v>0.66499999999999992</v>
      </c>
      <c r="S88" s="23">
        <f t="shared" si="1"/>
        <v>0.51033333333333342</v>
      </c>
      <c r="T88">
        <f t="shared" si="1"/>
        <v>0.34866666666666662</v>
      </c>
      <c r="U88">
        <f t="shared" si="1"/>
        <v>0.26100000000000001</v>
      </c>
      <c r="V88">
        <f t="shared" si="1"/>
        <v>0.22933333333333331</v>
      </c>
      <c r="W88">
        <f t="shared" si="1"/>
        <v>0.20733333333333334</v>
      </c>
      <c r="X88">
        <f t="shared" si="1"/>
        <v>0.26633333333333331</v>
      </c>
      <c r="Y88">
        <f t="shared" si="1"/>
        <v>0.26133333333333336</v>
      </c>
      <c r="Z88">
        <f t="shared" si="1"/>
        <v>0.24</v>
      </c>
    </row>
    <row r="89" spans="1:27" x14ac:dyDescent="0.25">
      <c r="A89" t="s">
        <v>42</v>
      </c>
      <c r="B89" s="6" t="s">
        <v>34</v>
      </c>
      <c r="C89" s="8">
        <v>0.23499999999999999</v>
      </c>
      <c r="D89" s="8">
        <v>0.245</v>
      </c>
      <c r="E89" s="7">
        <v>0.27800000000000002</v>
      </c>
      <c r="F89" s="7">
        <v>0.27800000000000002</v>
      </c>
      <c r="G89" s="7">
        <v>0.26</v>
      </c>
      <c r="H89" s="7">
        <v>0.27900000000000003</v>
      </c>
      <c r="I89" s="7">
        <v>0.28100000000000003</v>
      </c>
      <c r="J89" s="12">
        <v>0.38900000000000001</v>
      </c>
      <c r="K89" s="7">
        <v>0.29499999999999998</v>
      </c>
      <c r="L89" s="7">
        <v>0.29799999999999999</v>
      </c>
      <c r="M89" s="11">
        <v>0.36</v>
      </c>
      <c r="N89" s="9">
        <v>0.13100000000000001</v>
      </c>
      <c r="O89" s="10">
        <v>530</v>
      </c>
    </row>
    <row r="90" spans="1:27" x14ac:dyDescent="0.25">
      <c r="M90">
        <f>AVERAGE(M82:M89)</f>
        <v>0.31274999999999997</v>
      </c>
      <c r="N90">
        <f>AVERAGE(N82:N89)</f>
        <v>0.16887500000000003</v>
      </c>
    </row>
    <row r="92" spans="1:27" x14ac:dyDescent="0.25">
      <c r="A92" s="17" t="s">
        <v>41</v>
      </c>
      <c r="B92" s="5"/>
      <c r="C92" s="6">
        <v>1</v>
      </c>
      <c r="D92" s="6">
        <v>2</v>
      </c>
      <c r="E92" s="6">
        <v>3</v>
      </c>
      <c r="F92" s="6">
        <v>4</v>
      </c>
      <c r="G92" s="6">
        <v>5</v>
      </c>
      <c r="H92" s="6">
        <v>6</v>
      </c>
      <c r="I92" s="6">
        <v>7</v>
      </c>
      <c r="J92" s="6">
        <v>8</v>
      </c>
      <c r="K92" s="6">
        <v>9</v>
      </c>
      <c r="L92" s="6">
        <v>10</v>
      </c>
      <c r="M92" s="6">
        <v>11</v>
      </c>
      <c r="N92" s="6">
        <v>12</v>
      </c>
      <c r="P92" s="22">
        <v>16</v>
      </c>
      <c r="Q92" s="22">
        <v>8</v>
      </c>
      <c r="R92" s="22">
        <v>4</v>
      </c>
      <c r="S92" s="22">
        <v>2</v>
      </c>
      <c r="T92" s="22">
        <v>1</v>
      </c>
      <c r="U92" s="22">
        <v>0.5</v>
      </c>
      <c r="V92" s="22">
        <v>0.25</v>
      </c>
      <c r="W92" s="22">
        <v>0.125</v>
      </c>
      <c r="X92" s="22">
        <v>6.5000000000000002E-2</v>
      </c>
      <c r="AA92" t="s">
        <v>51</v>
      </c>
    </row>
    <row r="93" spans="1:27" x14ac:dyDescent="0.25">
      <c r="B93" s="6" t="s">
        <v>27</v>
      </c>
      <c r="C93" s="9">
        <v>0.14599999999999999</v>
      </c>
      <c r="D93" s="9">
        <v>0.14799999999999999</v>
      </c>
      <c r="E93" s="9">
        <v>0.14899999999999999</v>
      </c>
      <c r="F93" s="9">
        <v>0.13</v>
      </c>
      <c r="G93" s="9">
        <v>0.14499999999999999</v>
      </c>
      <c r="H93" s="9">
        <v>0.17</v>
      </c>
      <c r="I93" s="9">
        <v>0.186</v>
      </c>
      <c r="J93" s="9">
        <v>0.185</v>
      </c>
      <c r="K93" s="8">
        <v>0.24399999999999999</v>
      </c>
      <c r="L93" s="8">
        <v>0.26900000000000002</v>
      </c>
      <c r="M93" s="9">
        <v>0.23400000000000001</v>
      </c>
      <c r="N93" s="7">
        <v>0.38600000000000001</v>
      </c>
      <c r="O93" s="10">
        <v>530</v>
      </c>
      <c r="P93" s="9">
        <v>0.14599999999999999</v>
      </c>
      <c r="Q93" s="9">
        <v>0.14799999999999999</v>
      </c>
      <c r="R93" s="9">
        <v>0.14899999999999999</v>
      </c>
      <c r="S93" s="9">
        <v>0.13</v>
      </c>
      <c r="T93" s="9">
        <v>0.14499999999999999</v>
      </c>
      <c r="U93" s="9">
        <v>0.17</v>
      </c>
      <c r="V93" s="9">
        <v>0.186</v>
      </c>
      <c r="W93" s="9">
        <v>0.185</v>
      </c>
      <c r="X93" s="8">
        <v>0.24399999999999999</v>
      </c>
      <c r="Y93" s="8">
        <v>0.26900000000000002</v>
      </c>
    </row>
    <row r="94" spans="1:27" x14ac:dyDescent="0.25">
      <c r="B94" s="6" t="s">
        <v>28</v>
      </c>
      <c r="C94" s="9">
        <v>0.14199999999999999</v>
      </c>
      <c r="D94" s="9">
        <v>0.13600000000000001</v>
      </c>
      <c r="E94" s="9">
        <v>0.17100000000000001</v>
      </c>
      <c r="F94" s="9">
        <v>0.159</v>
      </c>
      <c r="G94" s="9">
        <v>0.154</v>
      </c>
      <c r="H94" s="9">
        <v>0.151</v>
      </c>
      <c r="I94" s="9">
        <v>0.16800000000000001</v>
      </c>
      <c r="J94" s="9">
        <v>0.20200000000000001</v>
      </c>
      <c r="K94" s="8">
        <v>0.309</v>
      </c>
      <c r="L94" s="9">
        <v>0.22700000000000001</v>
      </c>
      <c r="M94" s="8">
        <v>0.28999999999999998</v>
      </c>
      <c r="N94" s="9">
        <v>0.13100000000000001</v>
      </c>
      <c r="O94" s="10">
        <v>530</v>
      </c>
      <c r="P94" s="9">
        <v>0.14199999999999999</v>
      </c>
      <c r="Q94" s="9">
        <v>0.13600000000000001</v>
      </c>
      <c r="R94" s="9">
        <v>0.17100000000000001</v>
      </c>
      <c r="S94" s="9">
        <v>0.159</v>
      </c>
      <c r="T94" s="9">
        <v>0.154</v>
      </c>
      <c r="U94" s="9">
        <v>0.151</v>
      </c>
      <c r="V94" s="9">
        <v>0.16800000000000001</v>
      </c>
      <c r="W94" s="9">
        <v>0.20200000000000001</v>
      </c>
      <c r="X94" s="8">
        <v>0.309</v>
      </c>
      <c r="Y94" s="9">
        <v>0.22700000000000001</v>
      </c>
    </row>
    <row r="95" spans="1:27" x14ac:dyDescent="0.25">
      <c r="B95" s="6" t="s">
        <v>29</v>
      </c>
      <c r="C95" s="9">
        <v>0.155</v>
      </c>
      <c r="D95" s="9">
        <v>0.14099999999999999</v>
      </c>
      <c r="E95" s="9">
        <v>0.14399999999999999</v>
      </c>
      <c r="F95" s="9">
        <v>0.184</v>
      </c>
      <c r="G95" s="9">
        <v>0.14799999999999999</v>
      </c>
      <c r="H95" s="9">
        <v>0.14399999999999999</v>
      </c>
      <c r="I95" s="9">
        <v>0.24299999999999999</v>
      </c>
      <c r="J95" s="9">
        <v>0.22</v>
      </c>
      <c r="K95" s="8">
        <v>0.251</v>
      </c>
      <c r="L95" s="9">
        <v>0.23799999999999999</v>
      </c>
      <c r="M95" s="8">
        <v>0.28299999999999997</v>
      </c>
      <c r="N95" s="8">
        <v>0.25800000000000001</v>
      </c>
      <c r="O95" s="10">
        <v>530</v>
      </c>
      <c r="P95" s="9">
        <v>0.155</v>
      </c>
      <c r="Q95" s="9">
        <v>0.14099999999999999</v>
      </c>
      <c r="R95" s="9">
        <v>0.14399999999999999</v>
      </c>
      <c r="S95" s="9">
        <v>0.184</v>
      </c>
      <c r="T95" s="9">
        <v>0.14799999999999999</v>
      </c>
      <c r="U95" s="9">
        <v>0.14399999999999999</v>
      </c>
      <c r="V95" s="9">
        <v>0.24299999999999999</v>
      </c>
      <c r="W95" s="9">
        <v>0.22</v>
      </c>
      <c r="X95" s="8">
        <v>0.251</v>
      </c>
      <c r="Y95" s="9">
        <v>0.23799999999999999</v>
      </c>
    </row>
    <row r="96" spans="1:27" x14ac:dyDescent="0.25">
      <c r="A96" s="17" t="s">
        <v>40</v>
      </c>
      <c r="B96" s="6" t="s">
        <v>30</v>
      </c>
      <c r="C96" s="13">
        <v>1.746</v>
      </c>
      <c r="D96" s="19">
        <v>0.91800000000000004</v>
      </c>
      <c r="E96" s="12">
        <v>0.64400000000000002</v>
      </c>
      <c r="F96" s="8">
        <v>0.26600000000000001</v>
      </c>
      <c r="G96" s="8">
        <v>0.28199999999999997</v>
      </c>
      <c r="H96" s="8">
        <v>0.34699999999999998</v>
      </c>
      <c r="I96" s="7">
        <v>0.42399999999999999</v>
      </c>
      <c r="J96" s="8">
        <v>0.35099999999999998</v>
      </c>
      <c r="K96" s="7">
        <v>0.36899999999999999</v>
      </c>
      <c r="L96" s="7">
        <v>0.35899999999999999</v>
      </c>
      <c r="M96" s="8">
        <v>0.26400000000000001</v>
      </c>
      <c r="N96" s="9">
        <v>0.20899999999999999</v>
      </c>
      <c r="O96" s="10">
        <v>530</v>
      </c>
      <c r="P96">
        <f>AVERAGE(P93:P95)</f>
        <v>0.14766666666666664</v>
      </c>
      <c r="Q96">
        <f t="shared" ref="Q96:Y96" si="2">AVERAGE(Q93:Q95)</f>
        <v>0.14166666666666669</v>
      </c>
      <c r="R96">
        <f t="shared" si="2"/>
        <v>0.15466666666666665</v>
      </c>
      <c r="S96">
        <f t="shared" si="2"/>
        <v>0.15766666666666668</v>
      </c>
      <c r="T96">
        <f t="shared" si="2"/>
        <v>0.14899999999999999</v>
      </c>
      <c r="U96" s="23">
        <f t="shared" si="2"/>
        <v>0.155</v>
      </c>
      <c r="V96">
        <f t="shared" si="2"/>
        <v>0.19899999999999998</v>
      </c>
      <c r="W96">
        <f t="shared" si="2"/>
        <v>0.20233333333333334</v>
      </c>
      <c r="X96">
        <f t="shared" si="2"/>
        <v>0.26799999999999996</v>
      </c>
      <c r="Y96">
        <f t="shared" si="2"/>
        <v>0.24466666666666667</v>
      </c>
    </row>
    <row r="97" spans="1:27" x14ac:dyDescent="0.25">
      <c r="B97" s="6" t="s">
        <v>31</v>
      </c>
      <c r="C97" s="13">
        <v>1.6339999999999999</v>
      </c>
      <c r="D97" s="19">
        <v>0.85599999999999998</v>
      </c>
      <c r="E97" s="11">
        <v>0.499</v>
      </c>
      <c r="F97" s="8">
        <v>0.30499999999999999</v>
      </c>
      <c r="G97" s="8">
        <v>0.30299999999999999</v>
      </c>
      <c r="H97" s="8">
        <v>0.34100000000000003</v>
      </c>
      <c r="I97" s="7">
        <v>0.42199999999999999</v>
      </c>
      <c r="J97" s="8">
        <v>0.34300000000000003</v>
      </c>
      <c r="K97" s="7">
        <v>0.38300000000000001</v>
      </c>
      <c r="L97" s="8">
        <v>0.25900000000000001</v>
      </c>
      <c r="M97" s="8">
        <v>0.29399999999999998</v>
      </c>
      <c r="N97" s="9">
        <v>0.13600000000000001</v>
      </c>
      <c r="O97" s="10">
        <v>530</v>
      </c>
    </row>
    <row r="98" spans="1:27" x14ac:dyDescent="0.25">
      <c r="B98" s="6" t="s">
        <v>32</v>
      </c>
      <c r="C98" s="21">
        <v>1.4219999999999999</v>
      </c>
      <c r="D98" s="19">
        <v>0.85899999999999999</v>
      </c>
      <c r="E98" s="12">
        <v>0.68799999999999994</v>
      </c>
      <c r="F98" s="8">
        <v>0.29899999999999999</v>
      </c>
      <c r="G98" s="8">
        <v>0.27200000000000002</v>
      </c>
      <c r="H98" s="8">
        <v>0.26800000000000002</v>
      </c>
      <c r="I98" s="8">
        <v>0.26400000000000001</v>
      </c>
      <c r="J98" s="8">
        <v>0.29199999999999998</v>
      </c>
      <c r="K98" s="8">
        <v>0.28100000000000003</v>
      </c>
      <c r="L98" s="8">
        <v>0.26600000000000001</v>
      </c>
      <c r="M98" s="9">
        <v>0.23799999999999999</v>
      </c>
      <c r="N98" s="9">
        <v>0.13700000000000001</v>
      </c>
      <c r="O98" s="10">
        <v>530</v>
      </c>
      <c r="P98" s="13">
        <v>1.746</v>
      </c>
      <c r="Q98" s="19">
        <v>0.91800000000000004</v>
      </c>
      <c r="R98" s="12">
        <v>0.64400000000000002</v>
      </c>
      <c r="S98" s="8">
        <v>0.26600000000000001</v>
      </c>
      <c r="T98" s="8">
        <v>0.28199999999999997</v>
      </c>
      <c r="U98" s="8">
        <v>0.34699999999999998</v>
      </c>
      <c r="V98" s="7">
        <v>0.42399999999999999</v>
      </c>
      <c r="W98" s="8">
        <v>0.35099999999999998</v>
      </c>
      <c r="X98" s="7">
        <v>0.36899999999999999</v>
      </c>
      <c r="Y98" s="7">
        <v>0.35899999999999999</v>
      </c>
      <c r="Z98" s="8">
        <v>0.26400000000000001</v>
      </c>
      <c r="AA98" t="s">
        <v>40</v>
      </c>
    </row>
    <row r="99" spans="1:27" x14ac:dyDescent="0.25">
      <c r="B99" s="6" t="s">
        <v>33</v>
      </c>
      <c r="C99" s="8">
        <v>0.245</v>
      </c>
      <c r="D99" s="8">
        <v>0.246</v>
      </c>
      <c r="E99" s="8">
        <v>0.29399999999999998</v>
      </c>
      <c r="F99" s="9">
        <v>0.23200000000000001</v>
      </c>
      <c r="G99" s="8">
        <v>0.24399999999999999</v>
      </c>
      <c r="H99" s="8">
        <v>0.25</v>
      </c>
      <c r="I99" s="8">
        <v>0.27900000000000003</v>
      </c>
      <c r="J99" s="7">
        <v>0.45100000000000001</v>
      </c>
      <c r="K99" s="7">
        <v>0.41599999999999998</v>
      </c>
      <c r="L99" s="8">
        <v>0.32500000000000001</v>
      </c>
      <c r="M99" s="8">
        <v>0.28199999999999997</v>
      </c>
      <c r="N99" s="9">
        <v>0.128</v>
      </c>
      <c r="O99" s="10">
        <v>530</v>
      </c>
      <c r="P99" s="13">
        <v>1.6339999999999999</v>
      </c>
      <c r="Q99" s="19">
        <v>0.85599999999999998</v>
      </c>
      <c r="R99" s="11">
        <v>0.499</v>
      </c>
      <c r="S99" s="8">
        <v>0.30499999999999999</v>
      </c>
      <c r="T99" s="8">
        <v>0.30299999999999999</v>
      </c>
      <c r="U99" s="8">
        <v>0.34100000000000003</v>
      </c>
      <c r="V99" s="7">
        <v>0.42199999999999999</v>
      </c>
      <c r="W99" s="8">
        <v>0.34300000000000003</v>
      </c>
      <c r="X99" s="7">
        <v>0.38300000000000001</v>
      </c>
      <c r="Y99" s="8">
        <v>0.25900000000000001</v>
      </c>
      <c r="Z99" s="8">
        <v>0.29399999999999998</v>
      </c>
    </row>
    <row r="100" spans="1:27" x14ac:dyDescent="0.25">
      <c r="B100" s="6" t="s">
        <v>34</v>
      </c>
      <c r="C100" s="9">
        <v>0.23200000000000001</v>
      </c>
      <c r="D100" s="9">
        <v>0.23899999999999999</v>
      </c>
      <c r="E100" s="8">
        <v>0.27400000000000002</v>
      </c>
      <c r="F100" s="8">
        <v>0.254</v>
      </c>
      <c r="G100" s="8">
        <v>0.254</v>
      </c>
      <c r="H100" s="8">
        <v>0.30399999999999999</v>
      </c>
      <c r="I100" s="8">
        <v>0.26300000000000001</v>
      </c>
      <c r="J100" s="8">
        <v>0.30599999999999999</v>
      </c>
      <c r="K100" s="8">
        <v>0.31900000000000001</v>
      </c>
      <c r="L100" s="8">
        <v>0.252</v>
      </c>
      <c r="M100" s="8">
        <v>0.26</v>
      </c>
      <c r="N100" s="9">
        <v>0.13100000000000001</v>
      </c>
      <c r="O100" s="10">
        <v>530</v>
      </c>
      <c r="P100" s="21">
        <v>1.4219999999999999</v>
      </c>
      <c r="Q100" s="19">
        <v>0.85899999999999999</v>
      </c>
      <c r="R100" s="12">
        <v>0.68799999999999994</v>
      </c>
      <c r="S100" s="8">
        <v>0.29899999999999999</v>
      </c>
      <c r="T100" s="8">
        <v>0.27200000000000002</v>
      </c>
      <c r="U100" s="8">
        <v>0.26800000000000002</v>
      </c>
      <c r="V100" s="8">
        <v>0.26400000000000001</v>
      </c>
      <c r="W100" s="8">
        <v>0.29199999999999998</v>
      </c>
      <c r="X100" s="8">
        <v>0.28100000000000003</v>
      </c>
      <c r="Y100" s="8">
        <v>0.26600000000000001</v>
      </c>
      <c r="Z100" s="9">
        <v>0.23799999999999999</v>
      </c>
    </row>
    <row r="101" spans="1:27" x14ac:dyDescent="0.25">
      <c r="M101">
        <f>AVERAGE(M93:M100)</f>
        <v>0.268125</v>
      </c>
      <c r="N101">
        <f>AVERAGE(N94:N100)</f>
        <v>0.16142857142857142</v>
      </c>
      <c r="P101">
        <f>AVERAGE(P98:P100)</f>
        <v>1.6006666666666665</v>
      </c>
      <c r="Q101">
        <f t="shared" ref="Q101:Z101" si="3">AVERAGE(Q98:Q100)</f>
        <v>0.87766666666666671</v>
      </c>
      <c r="R101">
        <f t="shared" si="3"/>
        <v>0.61033333333333328</v>
      </c>
      <c r="S101">
        <f t="shared" si="3"/>
        <v>0.28999999999999998</v>
      </c>
      <c r="T101">
        <f t="shared" si="3"/>
        <v>0.28566666666666668</v>
      </c>
      <c r="U101">
        <f t="shared" si="3"/>
        <v>0.31866666666666665</v>
      </c>
      <c r="V101">
        <f t="shared" si="3"/>
        <v>0.36999999999999994</v>
      </c>
      <c r="W101">
        <f t="shared" si="3"/>
        <v>0.32866666666666666</v>
      </c>
      <c r="X101">
        <f t="shared" si="3"/>
        <v>0.34433333333333332</v>
      </c>
      <c r="Y101">
        <f t="shared" si="3"/>
        <v>0.29466666666666669</v>
      </c>
      <c r="Z101">
        <f t="shared" si="3"/>
        <v>0.26533333333333337</v>
      </c>
    </row>
    <row r="102" spans="1:27" x14ac:dyDescent="0.25">
      <c r="P102" s="24">
        <v>0.5</v>
      </c>
      <c r="Q102">
        <v>0.25</v>
      </c>
      <c r="R102" s="25">
        <v>0.125</v>
      </c>
      <c r="S102" s="25">
        <v>6.25E-2</v>
      </c>
      <c r="T102" s="25">
        <v>3.125E-2</v>
      </c>
      <c r="U102" s="25">
        <v>1.5599999999999999E-2</v>
      </c>
      <c r="V102" s="25">
        <v>7.8120000000000004E-3</v>
      </c>
      <c r="W102">
        <f>0.0039</f>
        <v>3.8999999999999998E-3</v>
      </c>
      <c r="X102" s="25">
        <v>1.9499999999999999E-3</v>
      </c>
      <c r="Y102" s="25">
        <v>9.7000000000000005E-4</v>
      </c>
      <c r="Z102" t="s">
        <v>43</v>
      </c>
    </row>
    <row r="105" spans="1:27" x14ac:dyDescent="0.25">
      <c r="B105" s="5"/>
      <c r="C105" s="6">
        <v>1</v>
      </c>
      <c r="D105" s="6">
        <v>2</v>
      </c>
      <c r="E105" s="6">
        <v>3</v>
      </c>
      <c r="F105" s="6">
        <v>4</v>
      </c>
      <c r="G105" s="6">
        <v>5</v>
      </c>
      <c r="H105" s="6">
        <v>6</v>
      </c>
      <c r="I105" s="6">
        <v>7</v>
      </c>
      <c r="J105" s="6">
        <v>8</v>
      </c>
      <c r="K105" s="6">
        <v>9</v>
      </c>
      <c r="L105" s="6">
        <v>10</v>
      </c>
      <c r="M105" s="6">
        <v>11</v>
      </c>
      <c r="N105" s="6">
        <v>12</v>
      </c>
      <c r="P105" s="7">
        <v>0.33900000000000002</v>
      </c>
      <c r="Q105" s="8">
        <v>0.255</v>
      </c>
      <c r="R105" s="8">
        <v>0.215</v>
      </c>
      <c r="S105" s="9">
        <v>0.19500000000000001</v>
      </c>
      <c r="T105" s="9">
        <v>0.17799999999999999</v>
      </c>
      <c r="U105" s="8">
        <v>0.20399999999999999</v>
      </c>
      <c r="V105" s="8">
        <v>0.23200000000000001</v>
      </c>
      <c r="W105" s="8">
        <v>0.255</v>
      </c>
      <c r="X105" s="8">
        <v>0.26900000000000002</v>
      </c>
      <c r="Y105" s="7">
        <v>0.27700000000000002</v>
      </c>
      <c r="Z105" t="s">
        <v>47</v>
      </c>
    </row>
    <row r="106" spans="1:27" x14ac:dyDescent="0.25">
      <c r="A106" s="17" t="s">
        <v>35</v>
      </c>
      <c r="B106" s="6" t="s">
        <v>27</v>
      </c>
      <c r="C106" s="7">
        <v>0.33900000000000002</v>
      </c>
      <c r="D106" s="8">
        <v>0.255</v>
      </c>
      <c r="E106" s="8">
        <v>0.215</v>
      </c>
      <c r="F106" s="9">
        <v>0.19500000000000001</v>
      </c>
      <c r="G106" s="9">
        <v>0.17799999999999999</v>
      </c>
      <c r="H106" s="8">
        <v>0.20399999999999999</v>
      </c>
      <c r="I106" s="8">
        <v>0.23200000000000001</v>
      </c>
      <c r="J106" s="8">
        <v>0.255</v>
      </c>
      <c r="K106" s="8">
        <v>0.26900000000000002</v>
      </c>
      <c r="L106" s="7">
        <v>0.27700000000000002</v>
      </c>
      <c r="M106" s="7">
        <v>0.33700000000000002</v>
      </c>
      <c r="N106" s="9">
        <v>0.128</v>
      </c>
      <c r="P106" s="11">
        <v>0.34399999999999997</v>
      </c>
      <c r="Q106" s="8">
        <v>0.25900000000000001</v>
      </c>
      <c r="R106" s="8">
        <v>0.249</v>
      </c>
      <c r="S106" s="7">
        <v>0.315</v>
      </c>
      <c r="T106" s="7">
        <v>0.315</v>
      </c>
      <c r="U106" s="7">
        <v>0.28299999999999997</v>
      </c>
      <c r="V106" s="7">
        <v>0.32700000000000001</v>
      </c>
      <c r="W106" s="7">
        <v>0.28499999999999998</v>
      </c>
      <c r="X106" s="7">
        <v>0.33400000000000002</v>
      </c>
      <c r="Y106" s="7">
        <v>0.32700000000000001</v>
      </c>
    </row>
    <row r="107" spans="1:27" x14ac:dyDescent="0.25">
      <c r="B107" s="6" t="s">
        <v>28</v>
      </c>
      <c r="C107" s="11">
        <v>0.34399999999999997</v>
      </c>
      <c r="D107" s="8">
        <v>0.25900000000000001</v>
      </c>
      <c r="E107" s="8">
        <v>0.249</v>
      </c>
      <c r="F107" s="7">
        <v>0.315</v>
      </c>
      <c r="G107" s="7">
        <v>0.315</v>
      </c>
      <c r="H107" s="7">
        <v>0.28299999999999997</v>
      </c>
      <c r="I107" s="7">
        <v>0.32700000000000001</v>
      </c>
      <c r="J107" s="7">
        <v>0.28499999999999998</v>
      </c>
      <c r="K107" s="7">
        <v>0.33400000000000002</v>
      </c>
      <c r="L107" s="7">
        <v>0.32700000000000001</v>
      </c>
      <c r="M107" s="8">
        <v>0.255</v>
      </c>
      <c r="N107" s="9">
        <v>0.13100000000000001</v>
      </c>
      <c r="P107" s="7">
        <v>0.33200000000000002</v>
      </c>
      <c r="Q107" s="7">
        <v>0.28599999999999998</v>
      </c>
      <c r="R107" s="7">
        <v>0.29799999999999999</v>
      </c>
      <c r="S107" s="7">
        <v>0.27900000000000003</v>
      </c>
      <c r="T107" s="8">
        <v>0.23499999999999999</v>
      </c>
      <c r="U107" s="7">
        <v>0.27400000000000002</v>
      </c>
      <c r="V107" s="7">
        <v>0.309</v>
      </c>
      <c r="W107" s="7">
        <v>0.30599999999999999</v>
      </c>
      <c r="X107" s="12">
        <v>0.42799999999999999</v>
      </c>
      <c r="Y107" s="7">
        <v>0.32800000000000001</v>
      </c>
    </row>
    <row r="108" spans="1:27" x14ac:dyDescent="0.25">
      <c r="B108" s="6" t="s">
        <v>29</v>
      </c>
      <c r="C108" s="7">
        <v>0.33200000000000002</v>
      </c>
      <c r="D108" s="7">
        <v>0.28599999999999998</v>
      </c>
      <c r="E108" s="7">
        <v>0.29799999999999999</v>
      </c>
      <c r="F108" s="7">
        <v>0.27900000000000003</v>
      </c>
      <c r="G108" s="8">
        <v>0.23499999999999999</v>
      </c>
      <c r="H108" s="7">
        <v>0.27400000000000002</v>
      </c>
      <c r="I108" s="7">
        <v>0.309</v>
      </c>
      <c r="J108" s="7">
        <v>0.30599999999999999</v>
      </c>
      <c r="K108" s="12">
        <v>0.42799999999999999</v>
      </c>
      <c r="L108" s="7">
        <v>0.32800000000000001</v>
      </c>
      <c r="M108" s="7">
        <v>0.27500000000000002</v>
      </c>
      <c r="N108" s="9">
        <v>0.13500000000000001</v>
      </c>
      <c r="P108">
        <f>AVERAGE(P105:P107)</f>
        <v>0.33833333333333337</v>
      </c>
      <c r="Q108">
        <f t="shared" ref="Q108:Y108" si="4">AVERAGE(Q105:Q107)</f>
        <v>0.26666666666666666</v>
      </c>
      <c r="R108">
        <f t="shared" si="4"/>
        <v>0.254</v>
      </c>
      <c r="S108" s="23">
        <f t="shared" si="4"/>
        <v>0.26300000000000001</v>
      </c>
      <c r="T108" s="23">
        <f t="shared" si="4"/>
        <v>0.24266666666666667</v>
      </c>
      <c r="U108">
        <f t="shared" si="4"/>
        <v>0.25366666666666665</v>
      </c>
      <c r="V108">
        <f t="shared" si="4"/>
        <v>0.28933333333333339</v>
      </c>
      <c r="W108">
        <f t="shared" si="4"/>
        <v>0.28200000000000003</v>
      </c>
      <c r="X108">
        <f t="shared" si="4"/>
        <v>0.34366666666666662</v>
      </c>
      <c r="Y108">
        <f t="shared" si="4"/>
        <v>0.3106666666666667</v>
      </c>
    </row>
    <row r="109" spans="1:27" x14ac:dyDescent="0.25">
      <c r="A109" s="17" t="s">
        <v>36</v>
      </c>
      <c r="B109" s="6" t="s">
        <v>30</v>
      </c>
      <c r="C109" s="13">
        <v>1.0820000000000001</v>
      </c>
      <c r="D109" s="14">
        <v>0.81499999999999995</v>
      </c>
      <c r="E109" s="12">
        <v>0.46200000000000002</v>
      </c>
      <c r="F109" s="7">
        <v>0.27400000000000002</v>
      </c>
      <c r="G109" s="8">
        <v>0.2</v>
      </c>
      <c r="H109" s="9">
        <v>0.17899999999999999</v>
      </c>
      <c r="I109" s="8">
        <v>0.19900000000000001</v>
      </c>
      <c r="J109" s="9">
        <v>0.189</v>
      </c>
      <c r="K109" s="7">
        <v>0.309</v>
      </c>
      <c r="L109" s="8">
        <v>0.25800000000000001</v>
      </c>
      <c r="M109" s="8">
        <v>0.25700000000000001</v>
      </c>
      <c r="N109" s="8">
        <v>0.19900000000000001</v>
      </c>
    </row>
    <row r="110" spans="1:27" x14ac:dyDescent="0.25">
      <c r="B110" s="6" t="s">
        <v>31</v>
      </c>
      <c r="C110" s="13">
        <v>1.1220000000000001</v>
      </c>
      <c r="D110" s="14">
        <v>0.78900000000000003</v>
      </c>
      <c r="E110" s="12">
        <v>0.45500000000000002</v>
      </c>
      <c r="F110" s="7">
        <v>0.28699999999999998</v>
      </c>
      <c r="G110" s="7">
        <v>0.27</v>
      </c>
      <c r="H110" s="8">
        <v>0.2</v>
      </c>
      <c r="I110" s="9">
        <v>0.18</v>
      </c>
      <c r="J110" s="8">
        <v>0.248</v>
      </c>
      <c r="K110" s="12">
        <v>0.42899999999999999</v>
      </c>
      <c r="L110" s="7">
        <v>0.28799999999999998</v>
      </c>
      <c r="M110" s="7">
        <v>0.27700000000000002</v>
      </c>
      <c r="N110" s="9">
        <v>0.13100000000000001</v>
      </c>
      <c r="P110" s="13">
        <v>1.0820000000000001</v>
      </c>
      <c r="Q110" s="14">
        <v>0.81499999999999995</v>
      </c>
      <c r="R110" s="12">
        <v>0.46200000000000002</v>
      </c>
      <c r="S110" s="7">
        <v>0.27400000000000002</v>
      </c>
      <c r="T110" s="8">
        <v>0.2</v>
      </c>
      <c r="U110" s="9">
        <v>0.17899999999999999</v>
      </c>
      <c r="V110" s="8">
        <v>0.19900000000000001</v>
      </c>
      <c r="W110" s="9">
        <v>0.189</v>
      </c>
      <c r="X110" s="7">
        <v>0.309</v>
      </c>
      <c r="Y110" s="8">
        <v>0.25800000000000001</v>
      </c>
      <c r="Z110" t="s">
        <v>48</v>
      </c>
    </row>
    <row r="111" spans="1:27" x14ac:dyDescent="0.25">
      <c r="B111" s="6" t="s">
        <v>32</v>
      </c>
      <c r="C111" s="13">
        <v>1.071</v>
      </c>
      <c r="D111" s="15">
        <v>0.72599999999999998</v>
      </c>
      <c r="E111" s="12">
        <v>0.42499999999999999</v>
      </c>
      <c r="F111" s="8">
        <v>0.26500000000000001</v>
      </c>
      <c r="G111" s="8">
        <v>0.20399999999999999</v>
      </c>
      <c r="H111" s="9">
        <v>0.193</v>
      </c>
      <c r="I111" s="8">
        <v>0.22700000000000001</v>
      </c>
      <c r="J111" s="12">
        <v>0.48</v>
      </c>
      <c r="K111" s="16">
        <v>0.5</v>
      </c>
      <c r="L111" s="12">
        <v>0.48099999999999998</v>
      </c>
      <c r="M111" s="7">
        <v>0.28599999999999998</v>
      </c>
      <c r="N111" s="9">
        <v>0.189</v>
      </c>
      <c r="P111" s="13">
        <v>1.1220000000000001</v>
      </c>
      <c r="Q111" s="14">
        <v>0.78900000000000003</v>
      </c>
      <c r="R111" s="12">
        <v>0.45500000000000002</v>
      </c>
      <c r="S111" s="7">
        <v>0.28699999999999998</v>
      </c>
      <c r="T111" s="7">
        <v>0.27</v>
      </c>
      <c r="U111" s="8">
        <v>0.2</v>
      </c>
      <c r="V111" s="9">
        <v>0.18</v>
      </c>
      <c r="W111" s="8">
        <v>0.248</v>
      </c>
      <c r="X111" s="12">
        <v>0.42899999999999999</v>
      </c>
      <c r="Y111" s="7">
        <v>0.28799999999999998</v>
      </c>
    </row>
    <row r="112" spans="1:27" x14ac:dyDescent="0.25">
      <c r="A112" s="17" t="s">
        <v>37</v>
      </c>
      <c r="B112" s="6" t="s">
        <v>33</v>
      </c>
      <c r="C112" s="7">
        <v>0.27400000000000002</v>
      </c>
      <c r="D112" s="7">
        <v>0.27</v>
      </c>
      <c r="E112" s="7">
        <v>0.28599999999999998</v>
      </c>
      <c r="F112" s="8">
        <v>0.23899999999999999</v>
      </c>
      <c r="G112" s="7">
        <v>0.29199999999999998</v>
      </c>
      <c r="H112" s="7">
        <v>0.27400000000000002</v>
      </c>
      <c r="I112" s="7">
        <v>0.28599999999999998</v>
      </c>
      <c r="J112" s="12">
        <v>0.42699999999999999</v>
      </c>
      <c r="K112" s="12">
        <v>0.46100000000000002</v>
      </c>
      <c r="L112" s="12">
        <v>0.41299999999999998</v>
      </c>
      <c r="M112" s="16">
        <v>0.495</v>
      </c>
      <c r="N112" s="9">
        <v>0.152</v>
      </c>
      <c r="P112" s="13">
        <v>1.071</v>
      </c>
      <c r="Q112" s="15">
        <v>0.72599999999999998</v>
      </c>
      <c r="R112" s="12">
        <v>0.42499999999999999</v>
      </c>
      <c r="S112" s="8">
        <v>0.26500000000000001</v>
      </c>
      <c r="T112" s="8">
        <v>0.20399999999999999</v>
      </c>
      <c r="U112" s="9">
        <v>0.193</v>
      </c>
      <c r="V112" s="8">
        <v>0.22700000000000001</v>
      </c>
      <c r="W112" s="12">
        <v>0.48</v>
      </c>
      <c r="X112" s="16">
        <v>0.5</v>
      </c>
      <c r="Y112" s="12">
        <v>0.48099999999999998</v>
      </c>
    </row>
    <row r="113" spans="2:25" x14ac:dyDescent="0.25">
      <c r="B113" s="6" t="s">
        <v>34</v>
      </c>
      <c r="C113" s="8">
        <v>0.25700000000000001</v>
      </c>
      <c r="D113" s="7">
        <v>0.27100000000000002</v>
      </c>
      <c r="E113" s="8">
        <v>0.24299999999999999</v>
      </c>
      <c r="F113" s="8">
        <v>0.26600000000000001</v>
      </c>
      <c r="G113" s="8">
        <v>0.249</v>
      </c>
      <c r="H113" s="7">
        <v>0.27800000000000002</v>
      </c>
      <c r="I113" s="11">
        <v>0.371</v>
      </c>
      <c r="J113" s="16">
        <v>0.48799999999999999</v>
      </c>
      <c r="K113" s="7">
        <v>0.29099999999999998</v>
      </c>
      <c r="L113" s="8">
        <v>0.251</v>
      </c>
      <c r="M113" s="11">
        <v>0.39200000000000002</v>
      </c>
      <c r="N113" s="9">
        <v>0.16400000000000001</v>
      </c>
      <c r="P113">
        <f>AVERAGE(P110:P112)</f>
        <v>1.0916666666666668</v>
      </c>
      <c r="Q113">
        <f t="shared" ref="Q113:Y113" si="5">AVERAGE(Q110:Q112)</f>
        <v>0.77666666666666673</v>
      </c>
      <c r="R113">
        <f t="shared" si="5"/>
        <v>0.44733333333333336</v>
      </c>
      <c r="S113">
        <f t="shared" si="5"/>
        <v>0.27533333333333332</v>
      </c>
      <c r="T113">
        <f t="shared" si="5"/>
        <v>0.22466666666666668</v>
      </c>
      <c r="U113" s="23">
        <f t="shared" si="5"/>
        <v>0.19066666666666668</v>
      </c>
      <c r="V113">
        <f t="shared" si="5"/>
        <v>0.20199999999999999</v>
      </c>
      <c r="W113">
        <f t="shared" si="5"/>
        <v>0.3056666666666667</v>
      </c>
      <c r="X113">
        <f t="shared" si="5"/>
        <v>0.41266666666666668</v>
      </c>
      <c r="Y113">
        <f t="shared" si="5"/>
        <v>0.34233333333333338</v>
      </c>
    </row>
    <row r="114" spans="2:25" x14ac:dyDescent="0.25">
      <c r="M114">
        <f>AVERAGE(M106:M113)</f>
        <v>0.32175000000000004</v>
      </c>
      <c r="N114">
        <f>AVERAGE(N106:N113)</f>
        <v>0.15362499999999998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Mansi Tanwar</cp:lastModifiedBy>
  <dcterms:created xsi:type="dcterms:W3CDTF">2011-01-18T20:51:17Z</dcterms:created>
  <dcterms:modified xsi:type="dcterms:W3CDTF">2025-11-07T05:54:11Z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