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A650ACD9-989A-4418-A928-241D07E38C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te 1 - Sheet1" sheetId="1" r:id="rId1"/>
  </sheets>
  <definedNames>
    <definedName name="MethodPointer1">1373546512</definedName>
    <definedName name="MethodPointer2">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L48" i="1"/>
  <c r="L49" i="1"/>
  <c r="L50" i="1"/>
  <c r="L51" i="1"/>
  <c r="L52" i="1"/>
  <c r="L53" i="1"/>
  <c r="K47" i="1"/>
  <c r="K48" i="1"/>
  <c r="K49" i="1"/>
  <c r="K50" i="1"/>
  <c r="K59" i="1" s="1"/>
  <c r="K51" i="1"/>
  <c r="K52" i="1"/>
  <c r="K53" i="1"/>
  <c r="J47" i="1"/>
  <c r="J48" i="1"/>
  <c r="J49" i="1"/>
  <c r="J50" i="1"/>
  <c r="J59" i="1" s="1"/>
  <c r="J51" i="1"/>
  <c r="J52" i="1"/>
  <c r="J53" i="1"/>
  <c r="I47" i="1"/>
  <c r="I48" i="1"/>
  <c r="I49" i="1"/>
  <c r="I50" i="1"/>
  <c r="I59" i="1" s="1"/>
  <c r="I51" i="1"/>
  <c r="I52" i="1"/>
  <c r="I53" i="1"/>
  <c r="L46" i="1"/>
  <c r="K46" i="1"/>
  <c r="K55" i="1" s="1"/>
  <c r="K37" i="1"/>
  <c r="J46" i="1"/>
  <c r="J55" i="1" s="1"/>
  <c r="I46" i="1"/>
  <c r="I55" i="1" s="1"/>
  <c r="G47" i="1"/>
  <c r="G56" i="1" s="1"/>
  <c r="G48" i="1"/>
  <c r="G57" i="1" s="1"/>
  <c r="G49" i="1"/>
  <c r="G50" i="1"/>
  <c r="G59" i="1" s="1"/>
  <c r="G51" i="1"/>
  <c r="G52" i="1"/>
  <c r="G61" i="1" s="1"/>
  <c r="G53" i="1"/>
  <c r="G46" i="1"/>
  <c r="F46" i="1"/>
  <c r="F47" i="1"/>
  <c r="F56" i="1" s="1"/>
  <c r="F48" i="1"/>
  <c r="F49" i="1"/>
  <c r="F50" i="1"/>
  <c r="F59" i="1" s="1"/>
  <c r="F51" i="1"/>
  <c r="F52" i="1"/>
  <c r="F53" i="1"/>
  <c r="F55" i="1"/>
  <c r="E47" i="1"/>
  <c r="E56" i="1" s="1"/>
  <c r="E48" i="1"/>
  <c r="E49" i="1"/>
  <c r="E50" i="1"/>
  <c r="E59" i="1" s="1"/>
  <c r="E51" i="1"/>
  <c r="E60" i="1" s="1"/>
  <c r="E52" i="1"/>
  <c r="E53" i="1"/>
  <c r="E46" i="1"/>
  <c r="E55" i="1" s="1"/>
  <c r="D47" i="1"/>
  <c r="D48" i="1"/>
  <c r="D49" i="1"/>
  <c r="D58" i="1" s="1"/>
  <c r="D50" i="1"/>
  <c r="D59" i="1" s="1"/>
  <c r="D51" i="1"/>
  <c r="D52" i="1"/>
  <c r="D53" i="1"/>
  <c r="D62" i="1" s="1"/>
  <c r="D46" i="1"/>
  <c r="D55" i="1" s="1"/>
  <c r="G60" i="1"/>
  <c r="G55" i="1"/>
  <c r="F57" i="1"/>
  <c r="F61" i="1"/>
  <c r="D56" i="1"/>
  <c r="I56" i="1"/>
  <c r="J56" i="1"/>
  <c r="K56" i="1"/>
  <c r="L56" i="1"/>
  <c r="I57" i="1"/>
  <c r="J57" i="1"/>
  <c r="K57" i="1"/>
  <c r="L57" i="1"/>
  <c r="I58" i="1"/>
  <c r="J58" i="1"/>
  <c r="K58" i="1"/>
  <c r="L58" i="1"/>
  <c r="L59" i="1"/>
  <c r="L55" i="1"/>
  <c r="D57" i="1"/>
  <c r="E57" i="1"/>
  <c r="E58" i="1"/>
  <c r="F58" i="1"/>
  <c r="G58" i="1"/>
  <c r="D60" i="1"/>
  <c r="F60" i="1"/>
  <c r="D61" i="1"/>
  <c r="E61" i="1"/>
  <c r="E62" i="1"/>
  <c r="F62" i="1"/>
  <c r="G62" i="1"/>
  <c r="O38" i="1"/>
  <c r="E37" i="1"/>
  <c r="F37" i="1"/>
  <c r="G37" i="1"/>
  <c r="H37" i="1"/>
  <c r="I37" i="1"/>
  <c r="J37" i="1"/>
  <c r="L37" i="1"/>
  <c r="E38" i="1"/>
  <c r="F38" i="1"/>
  <c r="G38" i="1"/>
  <c r="H38" i="1"/>
  <c r="I38" i="1"/>
  <c r="J38" i="1"/>
  <c r="K38" i="1"/>
  <c r="L38" i="1"/>
  <c r="E39" i="1"/>
  <c r="F39" i="1"/>
  <c r="G39" i="1"/>
  <c r="H39" i="1"/>
  <c r="I39" i="1"/>
  <c r="J39" i="1"/>
  <c r="K39" i="1"/>
  <c r="L39" i="1"/>
  <c r="E40" i="1"/>
  <c r="F40" i="1"/>
  <c r="G40" i="1"/>
  <c r="H40" i="1"/>
  <c r="I40" i="1"/>
  <c r="J40" i="1"/>
  <c r="K40" i="1"/>
  <c r="L40" i="1"/>
  <c r="E41" i="1"/>
  <c r="F41" i="1"/>
  <c r="G41" i="1"/>
  <c r="H41" i="1"/>
  <c r="I41" i="1"/>
  <c r="J41" i="1"/>
  <c r="K41" i="1"/>
  <c r="L41" i="1"/>
  <c r="E42" i="1"/>
  <c r="F42" i="1"/>
  <c r="G42" i="1"/>
  <c r="H42" i="1"/>
  <c r="I42" i="1"/>
  <c r="J42" i="1"/>
  <c r="K42" i="1"/>
  <c r="L42" i="1"/>
  <c r="E43" i="1"/>
  <c r="F43" i="1"/>
  <c r="G43" i="1"/>
  <c r="H43" i="1"/>
  <c r="I43" i="1"/>
  <c r="J43" i="1"/>
  <c r="K43" i="1"/>
  <c r="L43" i="1"/>
  <c r="E44" i="1"/>
  <c r="F44" i="1"/>
  <c r="G44" i="1"/>
  <c r="H44" i="1"/>
  <c r="I44" i="1"/>
  <c r="J44" i="1"/>
  <c r="K44" i="1"/>
  <c r="L44" i="1"/>
  <c r="D38" i="1"/>
  <c r="D39" i="1"/>
  <c r="D40" i="1"/>
  <c r="D41" i="1"/>
  <c r="D42" i="1"/>
  <c r="D43" i="1"/>
  <c r="D44" i="1"/>
  <c r="D37" i="1"/>
  <c r="R26" i="1"/>
</calcChain>
</file>

<file path=xl/sharedStrings.xml><?xml version="1.0" encoding="utf-8"?>
<sst xmlns="http://schemas.openxmlformats.org/spreadsheetml/2006/main" count="48" uniqueCount="48">
  <si>
    <t>Software Version</t>
  </si>
  <si>
    <t>3.14.03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</si>
  <si>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</si>
  <si>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</si>
  <si>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</si>
  <si>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</si>
  <si>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</si>
  <si>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</si>
  <si>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</si>
  <si>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</si>
  <si>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</si>
  <si>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</si>
  <si>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</si>
  <si>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</si>
  <si>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</si>
  <si>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</si>
  <si>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</si>
  <si>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</si>
  <si>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</si>
  <si>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</si>
  <si>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Endpoint</t>
  </si>
  <si>
    <t>Full Plate</t>
  </si>
  <si>
    <t>Wavelengths:  595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</si>
  <si>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</si>
  <si>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</si>
  <si>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</si>
  <si>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</si>
  <si>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</si>
  <si>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</si>
  <si>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</si>
  <si>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</si>
  <si>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</si>
  <si>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</si>
  <si>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</si>
  <si>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blank average</t>
  </si>
  <si>
    <t>control</t>
  </si>
  <si>
    <t>vehicle (140)</t>
  </si>
  <si>
    <t>vehicle(70)</t>
  </si>
  <si>
    <t>vehicle(35)</t>
  </si>
  <si>
    <t>vehicle(17)</t>
  </si>
  <si>
    <t>MINUS BLANK</t>
  </si>
  <si>
    <t>WITH CONTROL</t>
  </si>
  <si>
    <t>CONTROL AVERAGE</t>
  </si>
  <si>
    <t>PERCENTAGE VIABILITY</t>
  </si>
  <si>
    <t>FOR anova ECG</t>
  </si>
  <si>
    <t xml:space="preserve">Vehicle </t>
  </si>
  <si>
    <t xml:space="preserve">Final Dataset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</si>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</sst>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73"/>
  <sheetViews>
    <sheetView tabSelected="1" topLeftCell="A45" workbookViewId="0">
      <selection activeCell="E72" sqref="E72"/>
    </sheetView>
  </sheetViews>
  <sheetFormatPr defaultRowHeight="13.2" x14ac:dyDescent="0.25"/>
  <cols>
    <col min="1" max="1" width="20.6640625" customWidth="1"/>
    <col min="2" max="2" width="12.6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s="1">
        <v>46078</v>
      </c>
    </row>
    <row r="8" spans="1:2" x14ac:dyDescent="0.25">
      <c r="A8" t="s">
        <v>7</v>
      </c>
      <c r="B8" s="2">
        <v>0.81923611111111105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>
        <v>23110726</v>
      </c>
    </row>
    <row r="11" spans="1:2" x14ac:dyDescent="0.25">
      <c r="A11" t="s">
        <v>11</v>
      </c>
      <c r="B11" t="s">
        <v>12</v>
      </c>
    </row>
    <row r="13" spans="1:2" x14ac:dyDescent="0.25">
      <c r="A13" s="3" t="s">
        <v>13</v>
      </c>
      <c r="B13" s="4"/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</row>
    <row r="17" spans="1:18" x14ac:dyDescent="0.25">
      <c r="A17" t="s">
        <v>19</v>
      </c>
      <c r="B17" t="s">
        <v>20</v>
      </c>
    </row>
    <row r="18" spans="1:18" x14ac:dyDescent="0.25">
      <c r="B18" t="s">
        <v>21</v>
      </c>
    </row>
    <row r="19" spans="1:18" x14ac:dyDescent="0.25">
      <c r="B19" t="s">
        <v>22</v>
      </c>
    </row>
    <row r="20" spans="1:18" x14ac:dyDescent="0.25">
      <c r="B20" t="s">
        <v>23</v>
      </c>
    </row>
    <row r="22" spans="1:18" x14ac:dyDescent="0.25">
      <c r="A22" s="3" t="s">
        <v>24</v>
      </c>
      <c r="B22" s="4"/>
    </row>
    <row r="23" spans="1:18" x14ac:dyDescent="0.25">
      <c r="A23" t="s">
        <v>25</v>
      </c>
      <c r="B23">
        <v>27.6</v>
      </c>
    </row>
    <row r="25" spans="1:18" x14ac:dyDescent="0.2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  <c r="R25" t="s">
        <v>34</v>
      </c>
    </row>
    <row r="26" spans="1:18" x14ac:dyDescent="0.25">
      <c r="B26" s="6" t="s">
        <v>26</v>
      </c>
      <c r="C26" s="7">
        <v>4.8000000000000001E-2</v>
      </c>
      <c r="D26" s="8">
        <v>0.625</v>
      </c>
      <c r="E26" s="8">
        <v>0.55700000000000005</v>
      </c>
      <c r="F26" s="9">
        <v>0.69499999999999995</v>
      </c>
      <c r="G26" s="9">
        <v>0.66900000000000004</v>
      </c>
      <c r="H26" s="7">
        <v>4.8000000000000001E-2</v>
      </c>
      <c r="I26" s="9">
        <v>0.63800000000000001</v>
      </c>
      <c r="J26" s="8">
        <v>0.55800000000000005</v>
      </c>
      <c r="K26" s="10">
        <v>0.79500000000000004</v>
      </c>
      <c r="L26" s="9">
        <v>0.69</v>
      </c>
      <c r="M26" s="7">
        <v>4.9000000000000002E-2</v>
      </c>
      <c r="N26" s="7">
        <v>4.8000000000000001E-2</v>
      </c>
      <c r="O26" s="11">
        <v>595</v>
      </c>
      <c r="P26" t="s">
        <v>35</v>
      </c>
      <c r="R26">
        <f>AVERAGE(N28:N31)</f>
        <v>9.0250000000000011E-2</v>
      </c>
    </row>
    <row r="27" spans="1:18" x14ac:dyDescent="0.25">
      <c r="B27" s="6" t="s">
        <v>27</v>
      </c>
      <c r="C27" s="7">
        <v>4.8000000000000001E-2</v>
      </c>
      <c r="D27" s="10">
        <v>0.73299999999999998</v>
      </c>
      <c r="E27" s="10">
        <v>0.73799999999999999</v>
      </c>
      <c r="F27" s="10">
        <v>0.82</v>
      </c>
      <c r="G27" s="10">
        <v>0.76700000000000002</v>
      </c>
      <c r="H27" s="7">
        <v>4.7E-2</v>
      </c>
      <c r="I27" s="9">
        <v>0.71</v>
      </c>
      <c r="J27" s="8">
        <v>0.54</v>
      </c>
      <c r="K27" s="12">
        <v>1.3149999999999999</v>
      </c>
      <c r="L27" s="9">
        <v>0.63400000000000001</v>
      </c>
      <c r="M27" s="7">
        <v>0.05</v>
      </c>
      <c r="N27" s="7">
        <v>4.7E-2</v>
      </c>
      <c r="O27" s="11">
        <v>595</v>
      </c>
      <c r="P27" t="s">
        <v>36</v>
      </c>
    </row>
    <row r="28" spans="1:18" x14ac:dyDescent="0.25">
      <c r="B28" s="6" t="s">
        <v>28</v>
      </c>
      <c r="C28" s="7">
        <v>4.8000000000000001E-2</v>
      </c>
      <c r="D28" s="13">
        <v>1.071</v>
      </c>
      <c r="E28" s="10">
        <v>0.80900000000000005</v>
      </c>
      <c r="F28" s="14">
        <v>1.131</v>
      </c>
      <c r="G28" s="13">
        <v>1.0409999999999999</v>
      </c>
      <c r="H28" s="7">
        <v>0.05</v>
      </c>
      <c r="I28" s="7">
        <v>4.4999999999999998E-2</v>
      </c>
      <c r="J28" s="9">
        <v>0.70799999999999996</v>
      </c>
      <c r="K28" s="15">
        <v>0.9</v>
      </c>
      <c r="L28" s="10">
        <v>0.76100000000000001</v>
      </c>
      <c r="M28" s="7">
        <v>4.9000000000000002E-2</v>
      </c>
      <c r="N28" s="7">
        <v>0.12</v>
      </c>
      <c r="O28" s="11">
        <v>595</v>
      </c>
      <c r="P28" t="s">
        <v>37</v>
      </c>
    </row>
    <row r="29" spans="1:18" x14ac:dyDescent="0.25">
      <c r="B29" s="6" t="s">
        <v>29</v>
      </c>
      <c r="C29" s="7">
        <v>5.0999999999999997E-2</v>
      </c>
      <c r="D29" s="13">
        <v>1.1020000000000001</v>
      </c>
      <c r="E29" s="16">
        <v>0.93899999999999995</v>
      </c>
      <c r="F29" s="17">
        <v>1.419</v>
      </c>
      <c r="G29" s="13">
        <v>1.054</v>
      </c>
      <c r="H29" s="7">
        <v>4.7E-2</v>
      </c>
      <c r="I29" s="16">
        <v>0.93500000000000005</v>
      </c>
      <c r="J29" s="9">
        <v>0.68899999999999995</v>
      </c>
      <c r="K29" s="10">
        <v>0.82699999999999996</v>
      </c>
      <c r="L29" s="18">
        <v>0.52200000000000002</v>
      </c>
      <c r="M29" s="7">
        <v>0.05</v>
      </c>
      <c r="N29" s="7">
        <v>8.1000000000000003E-2</v>
      </c>
      <c r="O29" s="11">
        <v>595</v>
      </c>
      <c r="P29" t="s">
        <v>38</v>
      </c>
    </row>
    <row r="30" spans="1:18" x14ac:dyDescent="0.25">
      <c r="B30" s="6" t="s">
        <v>30</v>
      </c>
      <c r="C30" s="7">
        <v>0.05</v>
      </c>
      <c r="D30" s="16">
        <v>0.96299999999999997</v>
      </c>
      <c r="E30" s="10">
        <v>0.82299999999999995</v>
      </c>
      <c r="F30" s="10">
        <v>0.82799999999999996</v>
      </c>
      <c r="G30" s="15">
        <v>0.88800000000000001</v>
      </c>
      <c r="H30" s="7">
        <v>4.7E-2</v>
      </c>
      <c r="I30" s="13">
        <v>1.087</v>
      </c>
      <c r="J30" s="8">
        <v>0.55300000000000005</v>
      </c>
      <c r="K30" s="10">
        <v>0.77600000000000002</v>
      </c>
      <c r="L30" s="8">
        <v>0.60899999999999999</v>
      </c>
      <c r="M30" s="7">
        <v>4.7E-2</v>
      </c>
      <c r="N30" s="7">
        <v>7.9000000000000001E-2</v>
      </c>
      <c r="O30" s="11">
        <v>595</v>
      </c>
      <c r="P30" t="s">
        <v>39</v>
      </c>
    </row>
    <row r="31" spans="1:18" x14ac:dyDescent="0.25">
      <c r="B31" s="6" t="s">
        <v>31</v>
      </c>
      <c r="C31" s="7">
        <v>5.2999999999999999E-2</v>
      </c>
      <c r="D31" s="15">
        <v>0.92300000000000004</v>
      </c>
      <c r="E31" s="13">
        <v>1.0329999999999999</v>
      </c>
      <c r="F31" s="16">
        <v>0.96199999999999997</v>
      </c>
      <c r="G31" s="10">
        <v>0.79300000000000004</v>
      </c>
      <c r="H31" s="7">
        <v>4.9000000000000002E-2</v>
      </c>
      <c r="I31" s="9">
        <v>0.71</v>
      </c>
      <c r="J31" s="10">
        <v>0.749</v>
      </c>
      <c r="K31" s="8">
        <v>0.60799999999999998</v>
      </c>
      <c r="L31" s="8">
        <v>0.60799999999999998</v>
      </c>
      <c r="M31" s="7">
        <v>4.8000000000000001E-2</v>
      </c>
      <c r="N31" s="7">
        <v>8.1000000000000003E-2</v>
      </c>
      <c r="O31" s="11">
        <v>595</v>
      </c>
    </row>
    <row r="32" spans="1:18" x14ac:dyDescent="0.25">
      <c r="B32" s="6" t="s">
        <v>32</v>
      </c>
      <c r="C32" s="7">
        <v>5.1999999999999998E-2</v>
      </c>
      <c r="D32" s="15">
        <v>0.86799999999999999</v>
      </c>
      <c r="E32" s="10">
        <v>0.8</v>
      </c>
      <c r="F32" s="16">
        <v>0.96699999999999997</v>
      </c>
      <c r="G32" s="16">
        <v>0.97399999999999998</v>
      </c>
      <c r="H32" s="7">
        <v>5.3999999999999999E-2</v>
      </c>
      <c r="I32" s="8">
        <v>0.57299999999999995</v>
      </c>
      <c r="J32" s="9">
        <v>0.71599999999999997</v>
      </c>
      <c r="K32" s="8">
        <v>0.55900000000000005</v>
      </c>
      <c r="L32" s="8">
        <v>0.60599999999999998</v>
      </c>
      <c r="M32" s="7">
        <v>5.0999999999999997E-2</v>
      </c>
      <c r="N32" s="7">
        <v>4.8000000000000001E-2</v>
      </c>
      <c r="O32" s="11">
        <v>595</v>
      </c>
    </row>
    <row r="33" spans="2:15" x14ac:dyDescent="0.25">
      <c r="B33" s="6" t="s">
        <v>33</v>
      </c>
      <c r="C33" s="7">
        <v>4.8000000000000001E-2</v>
      </c>
      <c r="D33" s="13">
        <v>1.036</v>
      </c>
      <c r="E33" s="9">
        <v>0.69799999999999995</v>
      </c>
      <c r="F33" s="9">
        <v>0.73</v>
      </c>
      <c r="G33" s="9">
        <v>0.67200000000000004</v>
      </c>
      <c r="H33" s="7">
        <v>4.9000000000000002E-2</v>
      </c>
      <c r="I33" s="15">
        <v>0.92400000000000004</v>
      </c>
      <c r="J33" s="8">
        <v>0.54300000000000004</v>
      </c>
      <c r="K33" s="10">
        <v>0.79300000000000004</v>
      </c>
      <c r="L33" s="18">
        <v>0.52300000000000002</v>
      </c>
      <c r="M33" s="7">
        <v>4.8000000000000001E-2</v>
      </c>
      <c r="N33" s="7">
        <v>4.8000000000000001E-2</v>
      </c>
      <c r="O33" s="11">
        <v>595</v>
      </c>
    </row>
    <row r="36" spans="2:15" ht="26.4" x14ac:dyDescent="0.25">
      <c r="B36" s="19" t="s">
        <v>40</v>
      </c>
    </row>
    <row r="37" spans="2:15" x14ac:dyDescent="0.25">
      <c r="D37">
        <f>D26-0.09025</f>
        <v>0.53475000000000006</v>
      </c>
      <c r="E37">
        <f t="shared" ref="E37:L37" si="0">E26-0.09025</f>
        <v>0.46675000000000005</v>
      </c>
      <c r="F37">
        <f t="shared" si="0"/>
        <v>0.6047499999999999</v>
      </c>
      <c r="G37">
        <f t="shared" si="0"/>
        <v>0.5787500000000001</v>
      </c>
      <c r="H37">
        <f t="shared" si="0"/>
        <v>-4.2249999999999996E-2</v>
      </c>
      <c r="I37">
        <f t="shared" si="0"/>
        <v>0.54774999999999996</v>
      </c>
      <c r="J37">
        <f t="shared" si="0"/>
        <v>0.46775000000000005</v>
      </c>
      <c r="K37">
        <f>K26-0.09025</f>
        <v>0.70474999999999999</v>
      </c>
      <c r="L37">
        <f t="shared" si="0"/>
        <v>0.59975000000000001</v>
      </c>
      <c r="O37" t="s">
        <v>42</v>
      </c>
    </row>
    <row r="38" spans="2:15" x14ac:dyDescent="0.25">
      <c r="D38">
        <f t="shared" ref="D38:L44" si="1">D27-0.09025</f>
        <v>0.64274999999999993</v>
      </c>
      <c r="E38">
        <f t="shared" si="1"/>
        <v>0.64775000000000005</v>
      </c>
      <c r="F38">
        <f t="shared" si="1"/>
        <v>0.7297499999999999</v>
      </c>
      <c r="G38">
        <f t="shared" si="1"/>
        <v>0.67674999999999996</v>
      </c>
      <c r="H38">
        <f t="shared" si="1"/>
        <v>-4.3249999999999997E-2</v>
      </c>
      <c r="I38">
        <f t="shared" si="1"/>
        <v>0.61975000000000002</v>
      </c>
      <c r="J38">
        <f t="shared" si="1"/>
        <v>0.44975000000000004</v>
      </c>
      <c r="K38">
        <f t="shared" si="1"/>
        <v>1.22475</v>
      </c>
      <c r="L38">
        <f t="shared" si="1"/>
        <v>0.54374999999999996</v>
      </c>
      <c r="O38">
        <f>AVERAGE(I26,K26,L26)</f>
        <v>0.70766666666666678</v>
      </c>
    </row>
    <row r="39" spans="2:15" x14ac:dyDescent="0.25">
      <c r="D39">
        <f t="shared" si="1"/>
        <v>0.98075000000000001</v>
      </c>
      <c r="E39">
        <f t="shared" si="1"/>
        <v>0.71875</v>
      </c>
      <c r="F39">
        <f t="shared" si="1"/>
        <v>1.0407500000000001</v>
      </c>
      <c r="G39">
        <f t="shared" si="1"/>
        <v>0.95074999999999998</v>
      </c>
      <c r="H39">
        <f t="shared" si="1"/>
        <v>-4.0249999999999994E-2</v>
      </c>
      <c r="I39">
        <f t="shared" si="1"/>
        <v>-4.5249999999999999E-2</v>
      </c>
      <c r="J39">
        <f t="shared" si="1"/>
        <v>0.61775000000000002</v>
      </c>
      <c r="K39">
        <f t="shared" si="1"/>
        <v>0.80974999999999997</v>
      </c>
      <c r="L39">
        <f t="shared" si="1"/>
        <v>0.67074999999999996</v>
      </c>
    </row>
    <row r="40" spans="2:15" x14ac:dyDescent="0.25">
      <c r="D40">
        <f t="shared" si="1"/>
        <v>1.0117500000000001</v>
      </c>
      <c r="E40">
        <f t="shared" si="1"/>
        <v>0.84874999999999989</v>
      </c>
      <c r="F40">
        <f t="shared" si="1"/>
        <v>1.3287500000000001</v>
      </c>
      <c r="G40">
        <f t="shared" si="1"/>
        <v>0.96375000000000011</v>
      </c>
      <c r="H40">
        <f t="shared" si="1"/>
        <v>-4.3249999999999997E-2</v>
      </c>
      <c r="I40">
        <f t="shared" si="1"/>
        <v>0.84475000000000011</v>
      </c>
      <c r="J40">
        <f t="shared" si="1"/>
        <v>0.59874999999999989</v>
      </c>
      <c r="K40">
        <f t="shared" si="1"/>
        <v>0.73675000000000002</v>
      </c>
      <c r="L40">
        <f t="shared" si="1"/>
        <v>0.43175000000000002</v>
      </c>
    </row>
    <row r="41" spans="2:15" x14ac:dyDescent="0.25">
      <c r="D41">
        <f t="shared" si="1"/>
        <v>0.87274999999999991</v>
      </c>
      <c r="E41">
        <f t="shared" si="1"/>
        <v>0.73275000000000001</v>
      </c>
      <c r="F41">
        <f t="shared" si="1"/>
        <v>0.73774999999999991</v>
      </c>
      <c r="G41">
        <f t="shared" si="1"/>
        <v>0.79774999999999996</v>
      </c>
      <c r="H41">
        <f t="shared" si="1"/>
        <v>-4.3249999999999997E-2</v>
      </c>
      <c r="I41">
        <f t="shared" si="1"/>
        <v>0.99675000000000002</v>
      </c>
      <c r="J41">
        <f t="shared" si="1"/>
        <v>0.46275000000000005</v>
      </c>
      <c r="K41">
        <f t="shared" si="1"/>
        <v>0.68575000000000008</v>
      </c>
      <c r="L41">
        <f t="shared" si="1"/>
        <v>0.51875000000000004</v>
      </c>
    </row>
    <row r="42" spans="2:15" x14ac:dyDescent="0.25">
      <c r="D42">
        <f t="shared" si="1"/>
        <v>0.8327500000000001</v>
      </c>
      <c r="E42">
        <f t="shared" si="1"/>
        <v>0.94274999999999998</v>
      </c>
      <c r="F42">
        <f t="shared" si="1"/>
        <v>0.87175000000000002</v>
      </c>
      <c r="G42">
        <f t="shared" si="1"/>
        <v>0.70274999999999999</v>
      </c>
      <c r="H42">
        <f t="shared" si="1"/>
        <v>-4.1249999999999995E-2</v>
      </c>
      <c r="I42">
        <f t="shared" si="1"/>
        <v>0.61975000000000002</v>
      </c>
      <c r="J42">
        <f t="shared" si="1"/>
        <v>0.65874999999999995</v>
      </c>
      <c r="K42">
        <f t="shared" si="1"/>
        <v>0.51774999999999993</v>
      </c>
      <c r="L42">
        <f t="shared" si="1"/>
        <v>0.51774999999999993</v>
      </c>
    </row>
    <row r="43" spans="2:15" x14ac:dyDescent="0.25">
      <c r="D43">
        <f t="shared" si="1"/>
        <v>0.77774999999999994</v>
      </c>
      <c r="E43">
        <f t="shared" si="1"/>
        <v>0.7097500000000001</v>
      </c>
      <c r="F43">
        <f t="shared" si="1"/>
        <v>0.87674999999999992</v>
      </c>
      <c r="G43">
        <f t="shared" si="1"/>
        <v>0.88375000000000004</v>
      </c>
      <c r="H43">
        <f t="shared" si="1"/>
        <v>-3.6249999999999998E-2</v>
      </c>
      <c r="I43">
        <f t="shared" si="1"/>
        <v>0.48274999999999996</v>
      </c>
      <c r="J43">
        <f t="shared" si="1"/>
        <v>0.62575000000000003</v>
      </c>
      <c r="K43">
        <f t="shared" si="1"/>
        <v>0.46875000000000006</v>
      </c>
      <c r="L43">
        <f t="shared" si="1"/>
        <v>0.51574999999999993</v>
      </c>
    </row>
    <row r="44" spans="2:15" x14ac:dyDescent="0.25">
      <c r="D44">
        <f t="shared" si="1"/>
        <v>0.94575000000000009</v>
      </c>
      <c r="E44">
        <f t="shared" si="1"/>
        <v>0.60775000000000001</v>
      </c>
      <c r="F44">
        <f t="shared" si="1"/>
        <v>0.63975000000000004</v>
      </c>
      <c r="G44">
        <f t="shared" si="1"/>
        <v>0.58174999999999999</v>
      </c>
      <c r="H44">
        <f t="shared" si="1"/>
        <v>-4.1249999999999995E-2</v>
      </c>
      <c r="I44">
        <f t="shared" si="1"/>
        <v>0.83374999999999999</v>
      </c>
      <c r="J44">
        <f t="shared" si="1"/>
        <v>0.45275000000000004</v>
      </c>
      <c r="K44">
        <f t="shared" si="1"/>
        <v>0.70274999999999999</v>
      </c>
      <c r="L44">
        <f t="shared" si="1"/>
        <v>0.43275000000000002</v>
      </c>
    </row>
    <row r="46" spans="2:15" x14ac:dyDescent="0.25">
      <c r="B46" t="s">
        <v>41</v>
      </c>
      <c r="D46">
        <f>D37/0.54775</f>
        <v>0.976266544956641</v>
      </c>
      <c r="E46">
        <f>E37/0.46775</f>
        <v>0.99786210582576174</v>
      </c>
      <c r="F46">
        <f>F37/0.70475</f>
        <v>0.85810571124512225</v>
      </c>
      <c r="G46">
        <f>G37/0.59975</f>
        <v>0.96498541058774501</v>
      </c>
      <c r="I46">
        <f>I37/0.54775</f>
        <v>1</v>
      </c>
      <c r="J46">
        <f>J37/0.46775</f>
        <v>1.0000000000000002</v>
      </c>
      <c r="K46">
        <f>K37/0.70475</f>
        <v>1</v>
      </c>
      <c r="L46">
        <f>L37/0.59975</f>
        <v>1</v>
      </c>
    </row>
    <row r="47" spans="2:15" x14ac:dyDescent="0.25">
      <c r="D47">
        <f t="shared" ref="D47:D53" si="2">D38/0.54775</f>
        <v>1.1734367868553173</v>
      </c>
      <c r="E47">
        <f t="shared" ref="E47:E53" si="3">E38/0.46775</f>
        <v>1.3848209513629077</v>
      </c>
      <c r="F47">
        <f t="shared" ref="F47:F53" si="4">F38/0.70475</f>
        <v>1.0354735721887194</v>
      </c>
      <c r="G47">
        <f t="shared" ref="G47:G53" si="5">G38/0.59975</f>
        <v>1.1283868278449354</v>
      </c>
      <c r="I47">
        <f t="shared" ref="I47:I53" si="6">I38/0.54775</f>
        <v>1.131446827932451</v>
      </c>
      <c r="J47">
        <f t="shared" ref="J47:J53" si="7">J38/0.46775</f>
        <v>0.96151790486370936</v>
      </c>
      <c r="K47">
        <f t="shared" ref="K47:K53" si="8">K38/0.70475</f>
        <v>1.7378503015253637</v>
      </c>
      <c r="L47">
        <f t="shared" ref="L47:L53" si="9">L38/0.59975</f>
        <v>0.90662776156731961</v>
      </c>
    </row>
    <row r="48" spans="2:15" x14ac:dyDescent="0.25">
      <c r="D48">
        <f t="shared" si="2"/>
        <v>1.7905066179826565</v>
      </c>
      <c r="E48">
        <f t="shared" si="3"/>
        <v>1.5366114377338322</v>
      </c>
      <c r="F48">
        <f t="shared" si="4"/>
        <v>1.4767648102163888</v>
      </c>
      <c r="G48">
        <f t="shared" si="5"/>
        <v>1.5852438516048353</v>
      </c>
      <c r="I48">
        <f t="shared" si="6"/>
        <v>-8.2610680054769514E-2</v>
      </c>
      <c r="J48">
        <f t="shared" si="7"/>
        <v>1.3206841261357563</v>
      </c>
      <c r="K48">
        <f t="shared" si="8"/>
        <v>1.1489890031926215</v>
      </c>
      <c r="L48">
        <f t="shared" si="9"/>
        <v>1.1183826594414339</v>
      </c>
    </row>
    <row r="49" spans="1:18" x14ac:dyDescent="0.25">
      <c r="D49">
        <f t="shared" si="2"/>
        <v>1.8471017800091287</v>
      </c>
      <c r="E49">
        <f t="shared" si="3"/>
        <v>1.8145376803848208</v>
      </c>
      <c r="F49">
        <f t="shared" si="4"/>
        <v>1.8854203618304366</v>
      </c>
      <c r="G49">
        <f t="shared" si="5"/>
        <v>1.606919549812422</v>
      </c>
      <c r="I49">
        <f t="shared" si="6"/>
        <v>1.5422181652213605</v>
      </c>
      <c r="J49">
        <f t="shared" si="7"/>
        <v>1.280064136825227</v>
      </c>
      <c r="K49">
        <f t="shared" si="8"/>
        <v>1.0454061724015609</v>
      </c>
      <c r="L49">
        <f t="shared" si="9"/>
        <v>0.71988328470195917</v>
      </c>
    </row>
    <row r="50" spans="1:18" x14ac:dyDescent="0.25">
      <c r="D50">
        <f t="shared" si="2"/>
        <v>1.5933363760839798</v>
      </c>
      <c r="E50">
        <f t="shared" si="3"/>
        <v>1.5665419561731695</v>
      </c>
      <c r="F50">
        <f t="shared" si="4"/>
        <v>1.0468251152891095</v>
      </c>
      <c r="G50">
        <f t="shared" si="5"/>
        <v>1.3301375573155481</v>
      </c>
      <c r="I50">
        <f t="shared" si="6"/>
        <v>1.8197170241898679</v>
      </c>
      <c r="J50">
        <f t="shared" si="7"/>
        <v>0.98931052912880824</v>
      </c>
      <c r="K50">
        <f t="shared" si="8"/>
        <v>0.97304008513657336</v>
      </c>
      <c r="L50">
        <f t="shared" si="9"/>
        <v>0.86494372655273033</v>
      </c>
    </row>
    <row r="51" spans="1:18" x14ac:dyDescent="0.25">
      <c r="D51">
        <f t="shared" si="2"/>
        <v>1.5203103605659518</v>
      </c>
      <c r="E51">
        <f t="shared" si="3"/>
        <v>2.015499732763228</v>
      </c>
      <c r="F51">
        <f t="shared" si="4"/>
        <v>1.2369634622206456</v>
      </c>
      <c r="G51">
        <f t="shared" si="5"/>
        <v>1.1717382242601084</v>
      </c>
      <c r="I51">
        <f t="shared" si="6"/>
        <v>1.131446827932451</v>
      </c>
      <c r="J51">
        <f t="shared" si="7"/>
        <v>1.4083377872795295</v>
      </c>
      <c r="K51">
        <f t="shared" si="8"/>
        <v>0.73465768002837872</v>
      </c>
      <c r="L51">
        <f t="shared" si="9"/>
        <v>0.86327636515214656</v>
      </c>
    </row>
    <row r="52" spans="1:18" x14ac:dyDescent="0.25">
      <c r="D52">
        <f t="shared" si="2"/>
        <v>1.4198995892286628</v>
      </c>
      <c r="E52">
        <f t="shared" si="3"/>
        <v>1.517370390165687</v>
      </c>
      <c r="F52">
        <f t="shared" si="4"/>
        <v>1.2440581766583894</v>
      </c>
      <c r="G52">
        <f t="shared" si="5"/>
        <v>1.4735306377657358</v>
      </c>
      <c r="I52">
        <f t="shared" si="6"/>
        <v>0.88133272478320401</v>
      </c>
      <c r="J52">
        <f t="shared" si="7"/>
        <v>1.3377872795296633</v>
      </c>
      <c r="K52">
        <f t="shared" si="8"/>
        <v>0.66512947853848892</v>
      </c>
      <c r="L52">
        <f t="shared" si="9"/>
        <v>0.85994164235097947</v>
      </c>
    </row>
    <row r="53" spans="1:18" x14ac:dyDescent="0.25">
      <c r="D53">
        <f t="shared" si="2"/>
        <v>1.7266088544043818</v>
      </c>
      <c r="E53">
        <f t="shared" si="3"/>
        <v>1.2993051843933725</v>
      </c>
      <c r="F53">
        <f t="shared" si="4"/>
        <v>0.90776871230932965</v>
      </c>
      <c r="G53">
        <f t="shared" si="5"/>
        <v>0.96998749478949564</v>
      </c>
      <c r="I53">
        <f t="shared" si="6"/>
        <v>1.5221360109539024</v>
      </c>
      <c r="J53">
        <f t="shared" si="7"/>
        <v>0.96793158738642449</v>
      </c>
      <c r="K53">
        <f t="shared" si="8"/>
        <v>0.99716211422490242</v>
      </c>
      <c r="L53">
        <f t="shared" si="9"/>
        <v>0.72155064610254271</v>
      </c>
    </row>
    <row r="55" spans="1:18" x14ac:dyDescent="0.25">
      <c r="A55">
        <v>140</v>
      </c>
      <c r="B55" t="s">
        <v>43</v>
      </c>
      <c r="D55">
        <f>D46*100</f>
        <v>97.626654495664098</v>
      </c>
      <c r="E55">
        <f t="shared" ref="E55:G55" si="10">E46*100</f>
        <v>99.786210582576174</v>
      </c>
      <c r="F55">
        <f t="shared" si="10"/>
        <v>85.810571124512222</v>
      </c>
      <c r="G55">
        <f t="shared" si="10"/>
        <v>96.498541058774506</v>
      </c>
      <c r="I55">
        <f>I46*100</f>
        <v>100</v>
      </c>
      <c r="J55">
        <f t="shared" ref="J55:L55" si="11">J46*100</f>
        <v>100.00000000000003</v>
      </c>
      <c r="K55">
        <f t="shared" si="11"/>
        <v>100</v>
      </c>
      <c r="L55">
        <f t="shared" si="11"/>
        <v>100</v>
      </c>
    </row>
    <row r="56" spans="1:18" x14ac:dyDescent="0.25">
      <c r="A56">
        <v>70</v>
      </c>
      <c r="D56">
        <f t="shared" ref="D56:G56" si="12">D47*100</f>
        <v>117.34367868553173</v>
      </c>
      <c r="E56">
        <f t="shared" si="12"/>
        <v>138.48209513629078</v>
      </c>
      <c r="F56">
        <f t="shared" si="12"/>
        <v>103.54735721887194</v>
      </c>
      <c r="G56">
        <f t="shared" si="12"/>
        <v>112.83868278449354</v>
      </c>
      <c r="I56">
        <f t="shared" ref="I56:L56" si="13">I47*100</f>
        <v>113.1446827932451</v>
      </c>
      <c r="J56">
        <f t="shared" si="13"/>
        <v>96.151790486370942</v>
      </c>
      <c r="K56">
        <f t="shared" si="13"/>
        <v>173.78503015253636</v>
      </c>
      <c r="L56">
        <f t="shared" si="13"/>
        <v>90.662776156731965</v>
      </c>
    </row>
    <row r="57" spans="1:18" x14ac:dyDescent="0.25">
      <c r="A57">
        <v>35</v>
      </c>
      <c r="D57">
        <f t="shared" ref="D57:G57" si="14">D48*100</f>
        <v>179.05066179826565</v>
      </c>
      <c r="E57">
        <f t="shared" si="14"/>
        <v>153.66114377338323</v>
      </c>
      <c r="F57">
        <f t="shared" si="14"/>
        <v>147.67648102163889</v>
      </c>
      <c r="G57">
        <f t="shared" si="14"/>
        <v>158.52438516048352</v>
      </c>
      <c r="I57">
        <f t="shared" ref="I57:L57" si="15">I48*100</f>
        <v>-8.2610680054769521</v>
      </c>
      <c r="J57">
        <f t="shared" si="15"/>
        <v>132.06841261357562</v>
      </c>
      <c r="K57">
        <f t="shared" si="15"/>
        <v>114.89890031926215</v>
      </c>
      <c r="L57">
        <f t="shared" si="15"/>
        <v>111.83826594414339</v>
      </c>
    </row>
    <row r="58" spans="1:18" x14ac:dyDescent="0.25">
      <c r="A58">
        <v>17.5</v>
      </c>
      <c r="D58">
        <f t="shared" ref="D58:G58" si="16">D49*100</f>
        <v>184.71017800091286</v>
      </c>
      <c r="E58">
        <f t="shared" si="16"/>
        <v>181.45376803848208</v>
      </c>
      <c r="F58">
        <f t="shared" si="16"/>
        <v>188.54203618304365</v>
      </c>
      <c r="G58">
        <f t="shared" si="16"/>
        <v>160.69195498124219</v>
      </c>
      <c r="I58">
        <f t="shared" ref="I58:L58" si="17">I49*100</f>
        <v>154.22181652213604</v>
      </c>
      <c r="J58">
        <f t="shared" si="17"/>
        <v>128.00641368252269</v>
      </c>
      <c r="K58">
        <f t="shared" si="17"/>
        <v>104.54061724015608</v>
      </c>
      <c r="L58">
        <f t="shared" si="17"/>
        <v>71.98832847019591</v>
      </c>
    </row>
    <row r="59" spans="1:18" x14ac:dyDescent="0.25">
      <c r="A59">
        <v>8.75</v>
      </c>
      <c r="D59">
        <f t="shared" ref="D59:G59" si="18">D50*100</f>
        <v>159.33363760839799</v>
      </c>
      <c r="E59">
        <f t="shared" si="18"/>
        <v>156.65419561731696</v>
      </c>
      <c r="F59">
        <f t="shared" si="18"/>
        <v>104.68251152891095</v>
      </c>
      <c r="G59">
        <f t="shared" si="18"/>
        <v>133.0137557315548</v>
      </c>
      <c r="I59">
        <f t="shared" ref="I59:L59" si="19">I50*100</f>
        <v>181.97170241898678</v>
      </c>
      <c r="J59">
        <f t="shared" si="19"/>
        <v>98.93105291288083</v>
      </c>
      <c r="K59">
        <f t="shared" si="19"/>
        <v>97.304008513657337</v>
      </c>
      <c r="L59">
        <f t="shared" si="19"/>
        <v>86.49437265527304</v>
      </c>
    </row>
    <row r="60" spans="1:18" x14ac:dyDescent="0.25">
      <c r="A60">
        <v>4.37</v>
      </c>
      <c r="D60">
        <f t="shared" ref="D60:G60" si="20">D51*100</f>
        <v>152.03103605659518</v>
      </c>
      <c r="E60">
        <f t="shared" si="20"/>
        <v>201.54997327632282</v>
      </c>
      <c r="F60">
        <f t="shared" si="20"/>
        <v>123.69634622206456</v>
      </c>
      <c r="G60">
        <f t="shared" si="20"/>
        <v>117.17382242601084</v>
      </c>
    </row>
    <row r="61" spans="1:18" x14ac:dyDescent="0.25">
      <c r="A61">
        <v>2.1</v>
      </c>
      <c r="D61">
        <f t="shared" ref="D61:G61" si="21">D52*100</f>
        <v>141.98995892286626</v>
      </c>
      <c r="E61">
        <f t="shared" si="21"/>
        <v>151.7370390165687</v>
      </c>
      <c r="F61">
        <f t="shared" si="21"/>
        <v>124.40581766583894</v>
      </c>
      <c r="G61">
        <f t="shared" si="21"/>
        <v>147.35306377657358</v>
      </c>
    </row>
    <row r="62" spans="1:18" x14ac:dyDescent="0.25">
      <c r="A62">
        <v>1</v>
      </c>
      <c r="D62">
        <f t="shared" ref="D62:G62" si="22">D53*100</f>
        <v>172.66088544043819</v>
      </c>
      <c r="E62">
        <f t="shared" si="22"/>
        <v>129.93051843933725</v>
      </c>
      <c r="F62">
        <f t="shared" si="22"/>
        <v>90.776871230932969</v>
      </c>
      <c r="G62">
        <f t="shared" si="22"/>
        <v>96.998749478949563</v>
      </c>
      <c r="O62" t="s">
        <v>46</v>
      </c>
    </row>
    <row r="63" spans="1:18" x14ac:dyDescent="0.25">
      <c r="A63">
        <v>0</v>
      </c>
      <c r="D63">
        <v>100</v>
      </c>
      <c r="E63">
        <v>100</v>
      </c>
      <c r="F63">
        <v>100</v>
      </c>
      <c r="G63">
        <v>100</v>
      </c>
      <c r="O63">
        <v>140</v>
      </c>
      <c r="P63">
        <v>97.626649999999998</v>
      </c>
      <c r="Q63">
        <v>99.786209999999997</v>
      </c>
      <c r="R63">
        <v>85.810569999999998</v>
      </c>
    </row>
    <row r="64" spans="1:18" x14ac:dyDescent="0.25">
      <c r="O64">
        <v>70</v>
      </c>
      <c r="P64">
        <v>117.3437</v>
      </c>
      <c r="Q64">
        <v>103.5474</v>
      </c>
      <c r="R64">
        <v>112.8387</v>
      </c>
    </row>
    <row r="65" spans="3:18" x14ac:dyDescent="0.25">
      <c r="D65" t="s">
        <v>44</v>
      </c>
      <c r="O65">
        <v>35</v>
      </c>
      <c r="P65">
        <v>109.0106</v>
      </c>
      <c r="Q65">
        <v>104.2191</v>
      </c>
      <c r="R65">
        <v>125.5217</v>
      </c>
    </row>
    <row r="66" spans="3:18" x14ac:dyDescent="0.25">
      <c r="C66">
        <v>0</v>
      </c>
      <c r="D66">
        <v>1</v>
      </c>
      <c r="E66">
        <v>2.1</v>
      </c>
      <c r="F66">
        <v>4.37</v>
      </c>
      <c r="G66">
        <v>8.75</v>
      </c>
      <c r="H66">
        <v>17.5</v>
      </c>
      <c r="I66">
        <v>35</v>
      </c>
      <c r="J66">
        <v>70</v>
      </c>
      <c r="K66">
        <v>140</v>
      </c>
      <c r="L66" t="s">
        <v>45</v>
      </c>
      <c r="O66">
        <v>17.5</v>
      </c>
      <c r="P66">
        <v>130.47710000000001</v>
      </c>
      <c r="Q66">
        <v>123.31610000000001</v>
      </c>
      <c r="R66">
        <v>142.13489999999999</v>
      </c>
    </row>
    <row r="67" spans="3:18" x14ac:dyDescent="0.25">
      <c r="C67">
        <v>100</v>
      </c>
      <c r="D67">
        <v>109.27</v>
      </c>
      <c r="E67">
        <v>113.78</v>
      </c>
      <c r="F67">
        <v>100.53</v>
      </c>
      <c r="G67">
        <v>113.78</v>
      </c>
      <c r="H67">
        <v>130.47</v>
      </c>
      <c r="I67">
        <v>109.01</v>
      </c>
      <c r="J67">
        <v>117.34</v>
      </c>
      <c r="K67">
        <v>97.62</v>
      </c>
      <c r="L67">
        <v>113.14</v>
      </c>
      <c r="O67">
        <v>8.75</v>
      </c>
      <c r="P67">
        <v>113.7809</v>
      </c>
      <c r="Q67">
        <v>112.65730000000001</v>
      </c>
      <c r="R67">
        <v>131.7817</v>
      </c>
    </row>
    <row r="68" spans="3:18" x14ac:dyDescent="0.25">
      <c r="C68">
        <v>100</v>
      </c>
      <c r="D68">
        <v>87.34</v>
      </c>
      <c r="E68">
        <v>88.89</v>
      </c>
      <c r="F68">
        <v>100.66</v>
      </c>
      <c r="G68">
        <v>112.65</v>
      </c>
      <c r="H68">
        <v>123.31</v>
      </c>
      <c r="I68">
        <v>104.21</v>
      </c>
      <c r="J68">
        <v>103.54</v>
      </c>
      <c r="K68">
        <v>99.78</v>
      </c>
      <c r="L68">
        <v>96.15</v>
      </c>
      <c r="O68">
        <v>4.37</v>
      </c>
      <c r="P68">
        <v>100.53</v>
      </c>
      <c r="Q68">
        <v>100.6662</v>
      </c>
      <c r="R68">
        <v>107.94540000000001</v>
      </c>
    </row>
    <row r="69" spans="3:18" x14ac:dyDescent="0.25">
      <c r="C69">
        <v>100</v>
      </c>
      <c r="D69">
        <v>96.99</v>
      </c>
      <c r="E69">
        <v>99.75</v>
      </c>
      <c r="F69">
        <v>107.94</v>
      </c>
      <c r="G69">
        <v>131.78</v>
      </c>
      <c r="H69">
        <v>142.13</v>
      </c>
      <c r="I69">
        <v>125.52</v>
      </c>
      <c r="J69">
        <v>112.83</v>
      </c>
      <c r="K69">
        <v>85.81</v>
      </c>
      <c r="L69">
        <v>90.662000000000006</v>
      </c>
      <c r="O69">
        <v>2.1</v>
      </c>
      <c r="P69">
        <v>113.7809</v>
      </c>
      <c r="Q69">
        <v>88.897109999999998</v>
      </c>
      <c r="R69">
        <v>99.759230000000002</v>
      </c>
    </row>
    <row r="70" spans="3:18" x14ac:dyDescent="0.25">
      <c r="O70">
        <v>1</v>
      </c>
      <c r="P70">
        <v>109.2756</v>
      </c>
      <c r="Q70">
        <v>87.342699999999994</v>
      </c>
      <c r="R70">
        <v>155.13650000000001</v>
      </c>
    </row>
    <row r="71" spans="3:18" x14ac:dyDescent="0.25">
      <c r="O71">
        <v>0</v>
      </c>
      <c r="P71">
        <v>100</v>
      </c>
      <c r="Q71">
        <v>100</v>
      </c>
      <c r="R71">
        <v>100</v>
      </c>
    </row>
    <row r="73" spans="3:18" x14ac:dyDescent="0.25">
      <c r="K73" t="s">
        <v>47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Mansi Tanwar</cp:lastModifiedBy>
  <dcterms:created xsi:type="dcterms:W3CDTF">2011-01-18T20:51:17Z</dcterms:created>
  <dcterms:modified xsi:type="dcterms:W3CDTF">2026-02-26T06:29:26Z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